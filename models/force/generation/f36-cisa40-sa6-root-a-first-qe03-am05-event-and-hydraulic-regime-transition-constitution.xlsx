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0c2ecbf07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9947b56ed443c5"/>
    <x:sheet xmlns:r="http://schemas.openxmlformats.org/officeDocument/2006/relationships" name="Controls" sheetId="2" r:id="R85b193c1af154a4a"/>
    <x:sheet xmlns:r="http://schemas.openxmlformats.org/officeDocument/2006/relationships" name="Claim Boundary" sheetId="3" r:id="R0a32db7436204335"/>
    <x:sheet xmlns:r="http://schemas.openxmlformats.org/officeDocument/2006/relationships" name="Scale Vector" sheetId="4" r:id="Rcdbe6f00e630434a"/>
    <x:sheet xmlns:r="http://schemas.openxmlformats.org/officeDocument/2006/relationships" name="Hydraulic Envelope" sheetId="5" r:id="R33a792725b014e4c"/>
    <x:sheet xmlns:r="http://schemas.openxmlformats.org/officeDocument/2006/relationships" name="Rate Qualification" sheetId="6" r:id="R63fc3803839f4ef5"/>
    <x:sheet xmlns:r="http://schemas.openxmlformats.org/officeDocument/2006/relationships" name="Conversion Kit" sheetId="7" r:id="Re94870afada744d5"/>
    <x:sheet xmlns:r="http://schemas.openxmlformats.org/officeDocument/2006/relationships" name="Reserve Alternatives" sheetId="8" r:id="Rcca52f31be3240e7"/>
    <x:sheet xmlns:r="http://schemas.openxmlformats.org/officeDocument/2006/relationships" name="Reserve Sensitivity" sheetId="9" r:id="Ra38a041729314428"/>
    <x:sheet xmlns:r="http://schemas.openxmlformats.org/officeDocument/2006/relationships" name="Source Bank" sheetId="10" r:id="R6b734cfdba2544aa"/>
    <x:sheet xmlns:r="http://schemas.openxmlformats.org/officeDocument/2006/relationships" name="Package Characteristics" sheetId="11" r:id="R6278c28e92b84031"/>
    <x:sheet xmlns:r="http://schemas.openxmlformats.org/officeDocument/2006/relationships" name="Eligibility" sheetId="12" r:id="R516d22d939894da1"/>
    <x:sheet xmlns:r="http://schemas.openxmlformats.org/officeDocument/2006/relationships" name="Draw Protocol" sheetId="13" r:id="Ra98677ff90294271"/>
    <x:sheet xmlns:r="http://schemas.openxmlformats.org/officeDocument/2006/relationships" name="Attempt Tokens" sheetId="14" r:id="R503604aff4694edf"/>
    <x:sheet xmlns:r="http://schemas.openxmlformats.org/officeDocument/2006/relationships" name="Attempt Register" sheetId="15" r:id="R2c81065707c147fc"/>
    <x:sheet xmlns:r="http://schemas.openxmlformats.org/officeDocument/2006/relationships" name="Event Gates" sheetId="16" r:id="R0795c1290a1f4f7d"/>
    <x:sheet xmlns:r="http://schemas.openxmlformats.org/officeDocument/2006/relationships" name="Dossier Bindings" sheetId="17" r:id="Ra2d507d19fe94a2f"/>
    <x:sheet xmlns:r="http://schemas.openxmlformats.org/officeDocument/2006/relationships" name="Source Accounts" sheetId="18" r:id="Rfb4dbc705b654e8f"/>
    <x:sheet xmlns:r="http://schemas.openxmlformats.org/officeDocument/2006/relationships" name="Water Account" sheetId="19" r:id="R54e0bc757546470f"/>
    <x:sheet xmlns:r="http://schemas.openxmlformats.org/officeDocument/2006/relationships" name="Uncertainty" sheetId="20" r:id="Rab5ab7be67744e72"/>
    <x:sheet xmlns:r="http://schemas.openxmlformats.org/officeDocument/2006/relationships" name="Safeing Paths" sheetId="21" r:id="R7d0384365e4e4781"/>
    <x:sheet xmlns:r="http://schemas.openxmlformats.org/officeDocument/2006/relationships" name="Event Clock" sheetId="22" r:id="Ra9e8a645f50147c8"/>
    <x:sheet xmlns:r="http://schemas.openxmlformats.org/officeDocument/2006/relationships" name="Outcome Law" sheetId="23" r:id="Rcb8a7d683c964382"/>
    <x:sheet xmlns:r="http://schemas.openxmlformats.org/officeDocument/2006/relationships" name="Pair Return" sheetId="24" r:id="R5a47f3a412cb45b5"/>
    <x:sheet xmlns:r="http://schemas.openxmlformats.org/officeDocument/2006/relationships" name="Evidence Replay" sheetId="25" r:id="R1624fe70b2224940"/>
    <x:sheet xmlns:r="http://schemas.openxmlformats.org/officeDocument/2006/relationships" name="Evidence Capacity" sheetId="26" r:id="R693641dffda042bc"/>
    <x:sheet xmlns:r="http://schemas.openxmlformats.org/officeDocument/2006/relationships" name="Decisions" sheetId="27" r:id="R8db5d8a471514dea"/>
    <x:sheet xmlns:r="http://schemas.openxmlformats.org/officeDocument/2006/relationships" name="Downstream Boundary" sheetId="28" r:id="R007d344856434856"/>
    <x:sheet xmlns:r="http://schemas.openxmlformats.org/officeDocument/2006/relationships" name="Rules" sheetId="29" r:id="R5cac4e380abb444d"/>
    <x:sheet xmlns:r="http://schemas.openxmlformats.org/officeDocument/2006/relationships" name="Capacity" sheetId="30" r:id="R546c31d85d974f29"/>
    <x:sheet xmlns:r="http://schemas.openxmlformats.org/officeDocument/2006/relationships" name="Workforce" sheetId="31" r:id="R0da10598276946f9"/>
    <x:sheet xmlns:r="http://schemas.openxmlformats.org/officeDocument/2006/relationships" name="Finance Allocation" sheetId="32" r:id="R0c250b1b76fa428f"/>
    <x:sheet xmlns:r="http://schemas.openxmlformats.org/officeDocument/2006/relationships" name="Portfolio Boundary" sheetId="33" r:id="Rd4918afc280d4ad6"/>
    <x:sheet xmlns:r="http://schemas.openxmlformats.org/officeDocument/2006/relationships" name="Technology Programs" sheetId="34" r:id="Rcf77e4eee848453a"/>
    <x:sheet xmlns:r="http://schemas.openxmlformats.org/officeDocument/2006/relationships" name="Executable Tests" sheetId="35" r:id="Rb1f7cf35741c4af4"/>
    <x:sheet xmlns:r="http://schemas.openxmlformats.org/officeDocument/2006/relationships" name="Audit" sheetId="36" r:id="Rfbbd2447077e4e68"/>
    <x:sheet xmlns:r="http://schemas.openxmlformats.org/officeDocument/2006/relationships" name="Sources" sheetId="37" r:id="Ra26e774e0ea64904"/>
    <x:sheet xmlns:r="http://schemas.openxmlformats.org/officeDocument/2006/relationships" name="ReadMe" sheetId="38" r:id="Ra04f5b5d68c1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324A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0"/>
      <x:color rgb="FFFFFFFF"/>
      <x:name val="Arial"/>
    </x:font>
    <x:font>
      <x:i/>
      <x:sz val="10"/>
      <x:color rgb="FF18324A"/>
      <x:name val="Arial"/>
    </x:font>
    <x:font>
      <x:sz val="10"/>
      <x:name val="Arial"/>
    </x:font>
    <x:font>
      <x:b/>
      <x:sz val="10"/>
      <x:color rgb="FF1F4E7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8"/>
      </x:patternFill>
    </x:fill>
    <x:fill>
      <x:patternFill patternType="solid">
        <x:fgColor rgb="FF2D5F8B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201" fontId="7" fillId="0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50"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b/>
        <x:color rgb="FF274E1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CE4D6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87282635c4c2d" /><Relationship Type="http://schemas.openxmlformats.org/officeDocument/2006/relationships/theme" Target="/xl/theme/theme1.xml" Id="R48ca03d52838454c" /><Relationship Type="http://schemas.openxmlformats.org/officeDocument/2006/relationships/sharedStrings" Target="/xl/sharedStrings.xml" Id="R60904b0facf6480a" /><Relationship Type="http://schemas.openxmlformats.org/officeDocument/2006/relationships/worksheet" Target="/xl/worksheets/sheet1.xml" Id="R869947b56ed443c5" /><Relationship Type="http://schemas.openxmlformats.org/officeDocument/2006/relationships/worksheet" Target="/xl/worksheets/sheet2.xml" Id="R85b193c1af154a4a" /><Relationship Type="http://schemas.openxmlformats.org/officeDocument/2006/relationships/worksheet" Target="/xl/worksheets/sheet3.xml" Id="R0a32db7436204335" /><Relationship Type="http://schemas.openxmlformats.org/officeDocument/2006/relationships/worksheet" Target="/xl/worksheets/sheet4.xml" Id="Rcdbe6f00e630434a" /><Relationship Type="http://schemas.openxmlformats.org/officeDocument/2006/relationships/worksheet" Target="/xl/worksheets/sheet5.xml" Id="R33a792725b014e4c" /><Relationship Type="http://schemas.openxmlformats.org/officeDocument/2006/relationships/worksheet" Target="/xl/worksheets/sheet6.xml" Id="R63fc3803839f4ef5" /><Relationship Type="http://schemas.openxmlformats.org/officeDocument/2006/relationships/worksheet" Target="/xl/worksheets/sheet7.xml" Id="Re94870afada744d5" /><Relationship Type="http://schemas.openxmlformats.org/officeDocument/2006/relationships/worksheet" Target="/xl/worksheets/sheet8.xml" Id="Rcca52f31be3240e7" /><Relationship Type="http://schemas.openxmlformats.org/officeDocument/2006/relationships/worksheet" Target="/xl/worksheets/sheet9.xml" Id="Ra38a041729314428" /><Relationship Type="http://schemas.openxmlformats.org/officeDocument/2006/relationships/worksheet" Target="/xl/worksheets/sheet10.xml" Id="R6b734cfdba2544aa" /><Relationship Type="http://schemas.openxmlformats.org/officeDocument/2006/relationships/worksheet" Target="/xl/worksheets/sheet11.xml" Id="R6278c28e92b84031" /><Relationship Type="http://schemas.openxmlformats.org/officeDocument/2006/relationships/worksheet" Target="/xl/worksheets/sheet12.xml" Id="R516d22d939894da1" /><Relationship Type="http://schemas.openxmlformats.org/officeDocument/2006/relationships/worksheet" Target="/xl/worksheets/sheet13.xml" Id="Ra98677ff90294271" /><Relationship Type="http://schemas.openxmlformats.org/officeDocument/2006/relationships/worksheet" Target="/xl/worksheets/sheet14.xml" Id="R503604aff4694edf" /><Relationship Type="http://schemas.openxmlformats.org/officeDocument/2006/relationships/worksheet" Target="/xl/worksheets/sheet15.xml" Id="R2c81065707c147fc" /><Relationship Type="http://schemas.openxmlformats.org/officeDocument/2006/relationships/worksheet" Target="/xl/worksheets/sheet16.xml" Id="R0795c1290a1f4f7d" /><Relationship Type="http://schemas.openxmlformats.org/officeDocument/2006/relationships/worksheet" Target="/xl/worksheets/sheet17.xml" Id="Ra2d507d19fe94a2f" /><Relationship Type="http://schemas.openxmlformats.org/officeDocument/2006/relationships/worksheet" Target="/xl/worksheets/sheet18.xml" Id="Rfb4dbc705b654e8f" /><Relationship Type="http://schemas.openxmlformats.org/officeDocument/2006/relationships/worksheet" Target="/xl/worksheets/sheet19.xml" Id="R54e0bc757546470f" /><Relationship Type="http://schemas.openxmlformats.org/officeDocument/2006/relationships/worksheet" Target="/xl/worksheets/sheet20.xml" Id="Rab5ab7be67744e72" /><Relationship Type="http://schemas.openxmlformats.org/officeDocument/2006/relationships/worksheet" Target="/xl/worksheets/sheet21.xml" Id="R7d0384365e4e4781" /><Relationship Type="http://schemas.openxmlformats.org/officeDocument/2006/relationships/worksheet" Target="/xl/worksheets/sheet22.xml" Id="Ra9e8a645f50147c8" /><Relationship Type="http://schemas.openxmlformats.org/officeDocument/2006/relationships/worksheet" Target="/xl/worksheets/sheet23.xml" Id="Rcb8a7d683c964382" /><Relationship Type="http://schemas.openxmlformats.org/officeDocument/2006/relationships/worksheet" Target="/xl/worksheets/sheet24.xml" Id="R5a47f3a412cb45b5" /><Relationship Type="http://schemas.openxmlformats.org/officeDocument/2006/relationships/worksheet" Target="/xl/worksheets/sheet25.xml" Id="R1624fe70b2224940" /><Relationship Type="http://schemas.openxmlformats.org/officeDocument/2006/relationships/worksheet" Target="/xl/worksheets/sheet26.xml" Id="R693641dffda042bc" /><Relationship Type="http://schemas.openxmlformats.org/officeDocument/2006/relationships/worksheet" Target="/xl/worksheets/sheet27.xml" Id="R8db5d8a471514dea" /><Relationship Type="http://schemas.openxmlformats.org/officeDocument/2006/relationships/worksheet" Target="/xl/worksheets/sheet28.xml" Id="R007d344856434856" /><Relationship Type="http://schemas.openxmlformats.org/officeDocument/2006/relationships/worksheet" Target="/xl/worksheets/sheet29.xml" Id="R5cac4e380abb444d" /><Relationship Type="http://schemas.openxmlformats.org/officeDocument/2006/relationships/worksheet" Target="/xl/worksheets/sheet30.xml" Id="R546c31d85d974f29" /><Relationship Type="http://schemas.openxmlformats.org/officeDocument/2006/relationships/worksheet" Target="/xl/worksheets/sheet31.xml" Id="R0da10598276946f9" /><Relationship Type="http://schemas.openxmlformats.org/officeDocument/2006/relationships/worksheet" Target="/xl/worksheets/sheet32.xml" Id="R0c250b1b76fa428f" /><Relationship Type="http://schemas.openxmlformats.org/officeDocument/2006/relationships/worksheet" Target="/xl/worksheets/sheet33.xml" Id="Rd4918afc280d4ad6" /><Relationship Type="http://schemas.openxmlformats.org/officeDocument/2006/relationships/worksheet" Target="/xl/worksheets/sheet34.xml" Id="Rcf77e4eee848453a" /><Relationship Type="http://schemas.openxmlformats.org/officeDocument/2006/relationships/worksheet" Target="/xl/worksheets/sheet35.xml" Id="Rb1f7cf35741c4af4" /><Relationship Type="http://schemas.openxmlformats.org/officeDocument/2006/relationships/worksheet" Target="/xl/worksheets/sheet36.xml" Id="Rfbbd2447077e4e68" /><Relationship Type="http://schemas.openxmlformats.org/officeDocument/2006/relationships/worksheet" Target="/xl/worksheets/sheet37.xml" Id="Ra26e774e0ea64904" /><Relationship Type="http://schemas.openxmlformats.org/officeDocument/2006/relationships/worksheet" Target="/xl/worksheets/sheet38.xml" Id="Ra04f5b5d68c147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7" hidden="0" customWidth="1"/>
    <x:col min="3" max="3" width="69" hidden="0" customWidth="1"/>
  </x:cols>
  <x:sheetData>
    <x:row r="1" ht="28" customHeight="1">
      <x:c r="A1" s="17" t="str">
        <x:v>RBC-1 first QE-03 event</x:v>
      </x:c>
      <x:c r="B1" s="17"/>
      <x:c r="C1" s="17"/>
    </x:row>
    <x:row r="2" ht="34" customHeight="1">
      <x:c r="A2" s="18" t="str">
        <x:v>QE-03 is a new hydraulic and recovery regime. The 40 mm route remains conditional on twenty-four noncombustible trials.</x:v>
      </x:c>
      <x:c r="B2" s="18"/>
      <x:c r="C2" s="18"/>
    </x:row>
    <x:row r="3">
      <x:c r="A3" s="19"/>
      <x:c r="B3" s="19"/>
      <x:c r="C3" s="19"/>
    </x:row>
    <x:row r="4">
      <x:c r="A4" s="20" t="str">
        <x:v>Decision object</x:v>
      </x:c>
      <x:c r="B4" s="20" t="str">
        <x:v>Value</x:v>
      </x:c>
      <x:c r="C4" s="20" t="str">
        <x:v>Interpretation</x:v>
      </x:c>
    </x:row>
    <x:row r="5">
      <x:c r="A5" s="21" t="str">
        <x:v>Constitution</x:v>
      </x:c>
      <x:c r="B5" s="21" t="str">
        <x:v>RBC-1</x:v>
      </x:c>
      <x:c r="C5" s="21" t="str">
        <x:v>first 250 kg AM-05 event</x:v>
      </x:c>
    </x:row>
    <x:row r="6">
      <x:c r="A6" s="21" t="str">
        <x:v>Physical state</x:v>
      </x:c>
      <x:c r="B6" s="21" t="str">
        <x:v>OPEN</x:v>
      </x:c>
      <x:c r="C6" s="21" t="str">
        <x:v>no QE-03 event is credited</x:v>
      </x:c>
    </x:row>
    <x:row r="7">
      <x:c r="A7" s="21" t="str">
        <x:v>Eligible cells</x:v>
      </x:c>
      <x:c r="B7" s="21" t="n">
        <x:f>Controls!B8</x:f>
        <x:v>12</x:v>
      </x:c>
      <x:c r="C7" s="21" t="str">
        <x:v>six rigs by two primary roots</x:v>
      </x:c>
    </x:row>
    <x:row r="8">
      <x:c r="A8" s="21" t="str">
        <x:v>Rate-extension trials</x:v>
      </x:c>
      <x:c r="B8" s="21" t="n">
        <x:f>Controls!B32*Controls!B6</x:f>
        <x:v>24</x:v>
      </x:c>
      <x:c r="C8" s="21" t="str">
        <x:v>four per rig before draw</x:v>
      </x:c>
    </x:row>
    <x:row r="9">
      <x:c r="A9" s="21" t="str">
        <x:v>Route velocity</x:v>
      </x:c>
      <x:c r="B9" s="22" t="n">
        <x:f>'Hydraulic Envelope'!$E$7</x:f>
        <x:v>2.0723299881757207</x:v>
      </x:c>
      <x:c r="C9" s="21" t="str">
        <x:v>m/s at 250 kg over 120 s</x:v>
      </x:c>
    </x:row>
    <x:row r="10">
      <x:c r="A10" s="21" t="str">
        <x:v>Reynolds number</x:v>
      </x:c>
      <x:c r="B10" s="22" t="n">
        <x:f>'Hydraulic Envelope'!$F$7</x:f>
        <x:v>16578.639905405766</x:v>
      </x:c>
      <x:c r="C10" s="21" t="str">
        <x:v>planning screen</x:v>
      </x:c>
    </x:row>
    <x:row r="11">
      <x:c r="A11" s="21" t="str">
        <x:v>Instantaneous surge screen</x:v>
      </x:c>
      <x:c r="B11" s="22" t="n">
        <x:f>'Hydraulic Envelope'!$J$7</x:f>
        <x:v>1.6578639905405765</x:v>
      </x:c>
      <x:c r="C11" s="21" t="str">
        <x:v>MPa against 2 MPa design boundary</x:v>
      </x:c>
    </x:row>
    <x:row r="12">
      <x:c r="A12" s="21" t="str">
        <x:v>Design-boundary margin</x:v>
      </x:c>
      <x:c r="B12" s="22" t="n">
        <x:f>'Hydraulic Envelope'!$K$7</x:f>
        <x:v>0.34213600945942346</x:v>
      </x:c>
      <x:c r="C12" s="21" t="str">
        <x:v>MPa</x:v>
      </x:c>
    </x:row>
    <x:row r="13">
      <x:c r="A13" s="21" t="str">
        <x:v>Capture area</x:v>
      </x:c>
      <x:c r="B13" s="22" t="n">
        <x:f>Controls!B23</x:f>
        <x:v>5</x:v>
      </x:c>
      <x:c r="C13" s="21" t="str">
        <x:v>m2</x:v>
      </x:c>
    </x:row>
    <x:row r="14">
      <x:c r="A14" s="21" t="str">
        <x:v>Receiver margin</x:v>
      </x:c>
      <x:c r="B14" s="22" t="n">
        <x:f>Controls!B24-Controls!B9/Controls!B10</x:f>
        <x:v>0.08750000000000002</x:v>
      </x:c>
      <x:c r="C14" s="21" t="str">
        <x:v>m3 at nominal density</x:v>
      </x:c>
    </x:row>
    <x:row r="15">
      <x:c r="A15" s="21" t="str">
        <x:v>Source packages</x:v>
      </x:c>
      <x:c r="B15" s="21" t="n">
        <x:f>2*(Controls!B50+Controls!B51+Controls!B52)</x:f>
        <x:v>28</x:v>
      </x:c>
      <x:c r="C15" s="21" t="str">
        <x:v>12 active + 14 reserve + 2 reference</x:v>
      </x:c>
    </x:row>
    <x:row r="16">
      <x:c r="A16" s="21" t="str">
        <x:v>Selected class capacity at p=0.70</x:v>
      </x:c>
      <x:c r="B16" s="23" t="n">
        <x:f>'Reserve Alternatives'!$E$11</x:f>
        <x:v>0.9724607391944224</x:v>
      </x:c>
      <x:c r="C16" s="21" t="str">
        <x:v>conditional on accepted seed</x:v>
      </x:c>
    </x:row>
    <x:row r="17">
      <x:c r="A17" s="21" t="str">
        <x:v>Maximum first-event source issue</x:v>
      </x:c>
      <x:c r="B17" s="21" t="n">
        <x:f>Controls!B9*Controls!B58</x:f>
        <x:v>500</x:v>
      </x:c>
      <x:c r="C17" s="21" t="str">
        <x:v>kg across primary and replacement</x:v>
      </x:c>
    </x:row>
    <x:row r="18">
      <x:c r="A18" s="21" t="str">
        <x:v>Environmental source budget</x:v>
      </x:c>
      <x:c r="B18" s="21" t="n">
        <x:f>Controls!B27</x:f>
        <x:v>0.25</x:v>
      </x:c>
      <x:c r="C18" s="21" t="str">
        <x:v>kg fixed across both attempts</x:v>
      </x:c>
    </x:row>
    <x:row r="19">
      <x:c r="A19" s="21" t="str">
        <x:v>Unaccounted source budget</x:v>
      </x:c>
      <x:c r="B19" s="21" t="n">
        <x:f>Controls!B28</x:f>
        <x:v>1.875</x:v>
      </x:c>
      <x:c r="C19" s="21" t="str">
        <x:v>kg fixed across both attempts</x:v>
      </x:c>
    </x:row>
    <x:row r="20">
      <x:c r="A20" s="21" t="str">
        <x:v>Expanded uncertainty ceiling</x:v>
      </x:c>
      <x:c r="B20" s="21" t="n">
        <x:f>Controls!B31</x:f>
        <x:v>2.5</x:v>
      </x:c>
      <x:c r="C20" s="21" t="str">
        <x:v>kg</x:v>
      </x:c>
    </x:row>
    <x:row r="21">
      <x:c r="A21" s="21" t="str">
        <x:v>Minimum source-exposed return</x:v>
      </x:c>
      <x:c r="B21" s="21" t="n">
        <x:f>Controls!B42</x:f>
        <x:v>504</x:v>
      </x:c>
      <x:c r="C21" s="21" t="str">
        <x:v>hours</x:v>
      </x:c>
    </x:row>
    <x:row r="22">
      <x:c r="A22" s="21" t="str">
        <x:v>Maximum allocated evidence</x:v>
      </x:c>
      <x:c r="B22" s="22" t="n">
        <x:f>'Evidence Capacity'!$E$7</x:f>
        <x:v>499.36008245760013</x:v>
      </x:c>
      <x:c r="C22" s="21" t="str">
        <x:v>GB for two attempts</x:v>
      </x:c>
    </x:row>
    <x:row r="23">
      <x:c r="A23" s="21" t="str">
        <x:v>Assigned positions</x:v>
      </x:c>
      <x:c r="B23" s="21" t="n">
        <x:f>Controls!B59</x:f>
        <x:v>384</x:v>
      </x:c>
      <x:c r="C23" s="21" t="str">
        <x:v>existing RAS-1 establishment</x:v>
      </x:c>
    </x:row>
    <x:row r="24">
      <x:c r="A24" s="21" t="str">
        <x:v>Capital allocation</x:v>
      </x:c>
      <x:c r="B24" s="21" t="n">
        <x:f>Controls!B61</x:f>
        <x:v>54</x:v>
      </x:c>
      <x:c r="C24" s="21" t="str">
        <x:v>USD M</x:v>
      </x:c>
    </x:row>
    <x:row r="25">
      <x:c r="A25" s="21" t="str">
        <x:v>Annual support</x:v>
      </x:c>
      <x:c r="B25" s="21" t="n">
        <x:f>Controls!B62</x:f>
        <x:v>12</x:v>
      </x:c>
      <x:c r="C25" s="21" t="str">
        <x:v>USD M/year</x:v>
      </x:c>
    </x:row>
    <x:row r="26">
      <x:c r="A26" s="21" t="str">
        <x:v>Stage exposure</x:v>
      </x:c>
      <x:c r="B26" s="21" t="n">
        <x:f>'Portfolio Boundary'!$E$7</x:f>
        <x:v>63</x:v>
      </x:c>
      <x:c r="C26" s="21" t="str">
        <x:v>USD M</x:v>
      </x:c>
    </x:row>
    <x:row r="27">
      <x:c r="A27" s="21" t="str">
        <x:v>Release-aware completion month</x:v>
      </x:c>
      <x:c r="B27" s="21" t="n">
        <x:f>'Portfolio Boundary'!$B$11</x:f>
        <x:v>99</x:v>
      </x:c>
      <x:c r="C27" s="21" t="str">
        <x:v>conditional schedule</x:v>
      </x:c>
    </x:row>
    <x:row r="28">
      <x:c r="A28" s="21" t="str">
        <x:v>First-event decision</x:v>
      </x:c>
      <x:c r="B28" s="21" t="str">
        <x:v>BLOCKED</x:v>
      </x:c>
      <x:c r="C28" s="21" t="str">
        <x:v>requires prior, rate, eligibility and event closure</x:v>
      </x:c>
    </x:row>
    <x:row r="29">
      <x:c r="A29" s="21" t="str">
        <x:v>Next admissible object</x:v>
      </x:c>
      <x:c r="B29" s="21" t="str">
        <x:v>RBD-1 complete QE-03 AM-05 class</x:v>
      </x:c>
      <x:c r="C29" s="21" t="str">
        <x:v>only after one credited cell</x:v>
      </x:c>
    </x:row>
    <x:row r="30">
      <x:c r="A30" s="21" t="str">
        <x:v>Exterior rendering</x:v>
      </x:c>
      <x:c r="B30" s="21" t="str">
        <x:v>BLOCKED</x:v>
      </x:c>
      <x:c r="C30" s="21" t="str">
        <x:v>no operational-form authority</x:v>
      </x:c>
    </x:row>
  </x:sheetData>
  <x:conditionalFormatting sqref="B5:B30">
    <x:cfRule type="containsText" dxfId="0" priority="1" operator="containsText" text="PASS"/>
    <x:cfRule type="containsText" dxfId="1" priority="2" operator="containsText" text="ACCEPTED"/>
    <x:cfRule type="containsText" dxfId="2" priority="3" operator="containsText" text="OPEN"/>
    <x:cfRule type="containsText" dxfId="3" priority="4" operator="containsText" text="BLOCKED"/>
    <x:cfRule type="containsText" dxfId="4" priority="5" operator="containsText" text="FAIL"/>
    <x:cfRule type="containsText" dxfId="5" priority="6" operator="containsText" text="STOP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19" hidden="0" customWidth="1"/>
    <x:col min="3" max="3" width="20" hidden="0" customWidth="1"/>
    <x:col min="4" max="4" width="24" hidden="0" customWidth="1"/>
  </x:cols>
  <x:sheetData>
    <x:row r="1" ht="28" customHeight="1">
      <x:c r="A1" s="17" t="str">
        <x:v>RBC-1 controls</x:v>
      </x:c>
      <x:c r="B1" s="17"/>
      <x:c r="C1" s="17"/>
      <x:c r="D1" s="17"/>
    </x:row>
    <x:row r="2" ht="34" customHeight="1">
      <x:c r="A2" s="18" t="str">
        <x:v>Declared physics, evidence, source, schedule and parent-finance inputs. Physical observations are not stored here.</x:v>
      </x:c>
      <x:c r="B2" s="18"/>
      <x:c r="C2" s="18"/>
      <x:c r="D2" s="18"/>
    </x:row>
    <x:row r="3">
      <x:c r="A3" s="19"/>
      <x:c r="B3" s="19"/>
      <x:c r="C3" s="19"/>
      <x:c r="D3" s="19"/>
    </x:row>
    <x:row r="4">
      <x:c r="A4" s="20" t="str">
        <x:v>Input</x:v>
      </x:c>
      <x:c r="B4" s="20" t="str">
        <x:v>Value</x:v>
      </x:c>
      <x:c r="C4" s="20" t="str">
        <x:v>Unit</x:v>
      </x:c>
      <x:c r="D4" s="20" t="str">
        <x:v>Basis</x:v>
      </x:c>
    </x:row>
    <x:row r="5">
      <x:c r="A5" s="21" t="str">
        <x:v>Constitution</x:v>
      </x:c>
      <x:c r="B5" s="24" t="str">
        <x:v>RBC-1</x:v>
      </x:c>
      <x:c r="C5" s="21" t="str">
        <x:v>identifier</x:v>
      </x:c>
      <x:c r="D5" s="21" t="str">
        <x:v>design</x:v>
      </x:c>
    </x:row>
    <x:row r="6">
      <x:c r="A6" s="21" t="str">
        <x:v>Rig count</x:v>
      </x:c>
      <x:c r="B6" s="24" t="n">
        <x:v>6</x:v>
      </x:c>
      <x:c r="C6" s="21" t="str">
        <x:v>rigs</x:v>
      </x:c>
      <x:c r="D6" s="21" t="str">
        <x:v>inherited</x:v>
      </x:c>
    </x:row>
    <x:row r="7">
      <x:c r="A7" s="21" t="str">
        <x:v>Primary-root count</x:v>
      </x:c>
      <x:c r="B7" s="24" t="n">
        <x:v>2</x:v>
      </x:c>
      <x:c r="C7" s="21" t="str">
        <x:v>roots</x:v>
      </x:c>
      <x:c r="D7" s="21" t="str">
        <x:v>design</x:v>
      </x:c>
    </x:row>
    <x:row r="8">
      <x:c r="A8" s="21" t="str">
        <x:v>Eligible cell count</x:v>
      </x:c>
      <x:c r="B8" s="24" t="n">
        <x:v>12</x:v>
      </x:c>
      <x:c r="C8" s="21" t="str">
        <x:v>cells</x:v>
      </x:c>
      <x:c r="D8" s="21" t="str">
        <x:v>calculated</x:v>
      </x:c>
    </x:row>
    <x:row r="9">
      <x:c r="A9" s="21" t="str">
        <x:v>Event source mass</x:v>
      </x:c>
      <x:c r="B9" s="24" t="n">
        <x:v>250</x:v>
      </x:c>
      <x:c r="C9" s="21" t="str">
        <x:v>kg</x:v>
      </x:c>
      <x:c r="D9" s="21" t="str">
        <x:v>QE-03</x:v>
      </x:c>
    </x:row>
    <x:row r="10">
      <x:c r="A10" s="21" t="str">
        <x:v>Nominal density</x:v>
      </x:c>
      <x:c r="B10" s="24" t="n">
        <x:v>800</x:v>
      </x:c>
      <x:c r="C10" s="21" t="str">
        <x:v>kg/m3</x:v>
      </x:c>
      <x:c r="D10" s="21" t="str">
        <x:v>SF-800</x:v>
      </x:c>
    </x:row>
    <x:row r="11">
      <x:c r="A11" s="21" t="str">
        <x:v>Density tolerance</x:v>
      </x:c>
      <x:c r="B11" s="24" t="n">
        <x:v>8</x:v>
      </x:c>
      <x:c r="C11" s="21" t="str">
        <x:v>kg/m3</x:v>
      </x:c>
      <x:c r="D11" s="21" t="str">
        <x:v>SF-800</x:v>
      </x:c>
    </x:row>
    <x:row r="12">
      <x:c r="A12" s="21" t="str">
        <x:v>Source schedule</x:v>
      </x:c>
      <x:c r="B12" s="24" t="n">
        <x:v>120</x:v>
      </x:c>
      <x:c r="C12" s="21" t="str">
        <x:v>s</x:v>
      </x:c>
      <x:c r="D12" s="21" t="str">
        <x:v>registered</x:v>
      </x:c>
    </x:row>
    <x:row r="13">
      <x:c r="A13" s="21" t="str">
        <x:v>Route diameter</x:v>
      </x:c>
      <x:c r="B13" s="24" t="n">
        <x:v>0.04</x:v>
      </x:c>
      <x:c r="C13" s="21" t="str">
        <x:v>m</x:v>
      </x:c>
      <x:c r="D13" s="21" t="str">
        <x:v>REA-100</x:v>
      </x:c>
    </x:row>
    <x:row r="14">
      <x:c r="A14" s="21" t="str">
        <x:v>Route length</x:v>
      </x:c>
      <x:c r="B14" s="24" t="n">
        <x:v>12</x:v>
      </x:c>
      <x:c r="C14" s="21" t="str">
        <x:v>m</x:v>
      </x:c>
      <x:c r="D14" s="21" t="str">
        <x:v>REA-100</x:v>
      </x:c>
    </x:row>
    <x:row r="15">
      <x:c r="A15" s="21" t="str">
        <x:v>Dynamic viscosity</x:v>
      </x:c>
      <x:c r="B15" s="24" t="n">
        <x:v>0.004</x:v>
      </x:c>
      <x:c r="C15" s="21" t="str">
        <x:v>Pa s</x:v>
      </x:c>
      <x:c r="D15" s="21" t="str">
        <x:v>hypothesis</x:v>
      </x:c>
    </x:row>
    <x:row r="16">
      <x:c r="A16" s="21" t="str">
        <x:v>Surface tension</x:v>
      </x:c>
      <x:c r="B16" s="24" t="n">
        <x:v>0.025</x:v>
      </x:c>
      <x:c r="C16" s="21" t="str">
        <x:v>N/m</x:v>
      </x:c>
      <x:c r="D16" s="21" t="str">
        <x:v>hypothesis</x:v>
      </x:c>
    </x:row>
    <x:row r="17">
      <x:c r="A17" s="21" t="str">
        <x:v>Gravity</x:v>
      </x:c>
      <x:c r="B17" s="24" t="n">
        <x:v>9.80665</x:v>
      </x:c>
      <x:c r="C17" s="21" t="str">
        <x:v>m/s2</x:v>
      </x:c>
      <x:c r="D17" s="21" t="str">
        <x:v>constant</x:v>
      </x:c>
    </x:row>
    <x:row r="18">
      <x:c r="A18" s="21" t="str">
        <x:v>Wave-speed screen</x:v>
      </x:c>
      <x:c r="B18" s="24" t="n">
        <x:v>1000</x:v>
      </x:c>
      <x:c r="C18" s="21" t="str">
        <x:v>m/s</x:v>
      </x:c>
      <x:c r="D18" s="21" t="str">
        <x:v>conservative</x:v>
      </x:c>
    </x:row>
    <x:row r="19">
      <x:c r="A19" s="21" t="str">
        <x:v>Normal pressure boundary</x:v>
      </x:c>
      <x:c r="B19" s="24" t="n">
        <x:v>0.1</x:v>
      </x:c>
      <x:c r="C19" s="21" t="str">
        <x:v>MPa</x:v>
      </x:c>
      <x:c r="D19" s="21" t="str">
        <x:v>RAC-1</x:v>
      </x:c>
    </x:row>
    <x:row r="20">
      <x:c r="A20" s="21" t="str">
        <x:v>Relief set point</x:v>
      </x:c>
      <x:c r="B20" s="24" t="n">
        <x:v>0.25</x:v>
      </x:c>
      <x:c r="C20" s="21" t="str">
        <x:v>MPa</x:v>
      </x:c>
      <x:c r="D20" s="21" t="str">
        <x:v>RAC-1</x:v>
      </x:c>
    </x:row>
    <x:row r="21">
      <x:c r="A21" s="21" t="str">
        <x:v>Structural design boundary</x:v>
      </x:c>
      <x:c r="B21" s="24" t="n">
        <x:v>2</x:v>
      </x:c>
      <x:c r="C21" s="21" t="str">
        <x:v>MPa</x:v>
      </x:c>
      <x:c r="D21" s="21" t="str">
        <x:v>RAC-1</x:v>
      </x:c>
    </x:row>
    <x:row r="22">
      <x:c r="A22" s="21" t="str">
        <x:v>Liquid proof boundary</x:v>
      </x:c>
      <x:c r="B22" s="24" t="n">
        <x:v>3</x:v>
      </x:c>
      <x:c r="C22" s="21" t="str">
        <x:v>MPa</x:v>
      </x:c>
      <x:c r="D22" s="21" t="str">
        <x:v>RAC-1</x:v>
      </x:c>
    </x:row>
    <x:row r="23">
      <x:c r="A23" s="21" t="str">
        <x:v>Capture area bound</x:v>
      </x:c>
      <x:c r="B23" s="24" t="n">
        <x:v>5</x:v>
      </x:c>
      <x:c r="C23" s="21" t="str">
        <x:v>m2</x:v>
      </x:c>
      <x:c r="D23" s="21" t="str">
        <x:v>QE-03</x:v>
      </x:c>
    </x:row>
    <x:row r="24">
      <x:c r="A24" s="21" t="str">
        <x:v>Usable normal receiver</x:v>
      </x:c>
      <x:c r="B24" s="24" t="n">
        <x:v>0.4</x:v>
      </x:c>
      <x:c r="C24" s="21" t="str">
        <x:v>m3</x:v>
      </x:c>
      <x:c r="D24" s="21" t="str">
        <x:v>REA-100</x:v>
      </x:c>
    </x:row>
    <x:row r="25">
      <x:c r="A25" s="21" t="str">
        <x:v>Overspeed bracket</x:v>
      </x:c>
      <x:c r="B25" s="24" t="n">
        <x:v>1.1</x:v>
      </x:c>
      <x:c r="C25" s="21" t="str">
        <x:v>factor</x:v>
      </x:c>
      <x:c r="D25" s="21" t="str">
        <x:v>selected</x:v>
      </x:c>
    </x:row>
    <x:row r="26">
      <x:c r="A26" s="21" t="str">
        <x:v>Terminal-source limit</x:v>
      </x:c>
      <x:c r="B26" s="24" t="n">
        <x:v>30</x:v>
      </x:c>
      <x:c r="C26" s="21" t="str">
        <x:v>s after stop</x:v>
      </x:c>
      <x:c r="D26" s="21" t="str">
        <x:v>Root A</x:v>
      </x:c>
    </x:row>
    <x:row r="27">
      <x:c r="A27" s="21" t="str">
        <x:v>Fixed environmental source budget</x:v>
      </x:c>
      <x:c r="B27" s="24" t="n">
        <x:v>0.25</x:v>
      </x:c>
      <x:c r="C27" s="21" t="str">
        <x:v>kg</x:v>
      </x:c>
      <x:c r="D27" s="21" t="str">
        <x:v>event object</x:v>
      </x:c>
    </x:row>
    <x:row r="28">
      <x:c r="A28" s="21" t="str">
        <x:v>Fixed unaccounted source budget</x:v>
      </x:c>
      <x:c r="B28" s="24" t="n">
        <x:v>1.875</x:v>
      </x:c>
      <x:c r="C28" s="21" t="str">
        <x:v>kg</x:v>
      </x:c>
      <x:c r="D28" s="21" t="str">
        <x:v>event object</x:v>
      </x:c>
    </x:row>
    <x:row r="29">
      <x:c r="A29" s="21" t="str">
        <x:v>Minimum ancestry recovery</x:v>
      </x:c>
      <x:c r="B29" s="24" t="n">
        <x:v>0.995</x:v>
      </x:c>
      <x:c r="C29" s="21" t="str">
        <x:v>fraction</x:v>
      </x:c>
      <x:c r="D29" s="21" t="str">
        <x:v>inherited</x:v>
      </x:c>
    </x:row>
    <x:row r="30">
      <x:c r="A30" s="21" t="str">
        <x:v>Maximum cross-talk</x:v>
      </x:c>
      <x:c r="B30" s="24" t="n">
        <x:v>0.005</x:v>
      </x:c>
      <x:c r="C30" s="21" t="str">
        <x:v>fraction</x:v>
      </x:c>
      <x:c r="D30" s="21" t="str">
        <x:v>inherited</x:v>
      </x:c>
    </x:row>
    <x:row r="31">
      <x:c r="A31" s="21" t="str">
        <x:v>Expanded uncertainty ceiling</x:v>
      </x:c>
      <x:c r="B31" s="24" t="n">
        <x:v>2.5</x:v>
      </x:c>
      <x:c r="C31" s="21" t="str">
        <x:v>kg</x:v>
      </x:c>
      <x:c r="D31" s="21" t="str">
        <x:v>selected</x:v>
      </x:c>
    </x:row>
    <x:row r="32">
      <x:c r="A32" s="21" t="str">
        <x:v>Rate-extension trials per rig</x:v>
      </x:c>
      <x:c r="B32" s="24" t="n">
        <x:v>4</x:v>
      </x:c>
      <x:c r="C32" s="21" t="str">
        <x:v>trials</x:v>
      </x:c>
      <x:c r="D32" s="21" t="str">
        <x:v>selected</x:v>
      </x:c>
    </x:row>
    <x:row r="33">
      <x:c r="A33" s="21" t="str">
        <x:v>Eligibility gates per cell</x:v>
      </x:c>
      <x:c r="B33" s="24" t="n">
        <x:v>24</x:v>
      </x:c>
      <x:c r="C33" s="21" t="str">
        <x:v>decisions</x:v>
      </x:c>
      <x:c r="D33" s="21" t="str">
        <x:v>selected</x:v>
      </x:c>
    </x:row>
    <x:row r="34">
      <x:c r="A34" s="21" t="str">
        <x:v>Event gates per attempt</x:v>
      </x:c>
      <x:c r="B34" s="24" t="n">
        <x:v>42</x:v>
      </x:c>
      <x:c r="C34" s="21" t="str">
        <x:v>decisions</x:v>
      </x:c>
      <x:c r="D34" s="21" t="str">
        <x:v>selected</x:v>
      </x:c>
    </x:row>
    <x:row r="35">
      <x:c r="A35" s="21" t="str">
        <x:v>Dossier bindings per attempt</x:v>
      </x:c>
      <x:c r="B35" s="24" t="n">
        <x:v>217</x:v>
      </x:c>
      <x:c r="C35" s="21" t="str">
        <x:v>bindings</x:v>
      </x:c>
      <x:c r="D35" s="21" t="str">
        <x:v>selected</x:v>
      </x:c>
    </x:row>
    <x:row r="36">
      <x:c r="A36" s="21" t="str">
        <x:v>Safeing proofs per attempt</x:v>
      </x:c>
      <x:c r="B36" s="24" t="n">
        <x:v>36</x:v>
      </x:c>
      <x:c r="C36" s="21" t="str">
        <x:v>proofs</x:v>
      </x:c>
      <x:c r="D36" s="21" t="str">
        <x:v>inherited</x:v>
      </x:c>
    </x:row>
    <x:row r="37">
      <x:c r="A37" s="21" t="str">
        <x:v>Root-specific measurements per attempt</x:v>
      </x:c>
      <x:c r="B37" s="24" t="n">
        <x:v>60</x:v>
      </x:c>
      <x:c r="C37" s="21" t="str">
        <x:v>measurements</x:v>
      </x:c>
      <x:c r="D37" s="21" t="str">
        <x:v>selected</x:v>
      </x:c>
    </x:row>
    <x:row r="38">
      <x:c r="A38" s="21" t="str">
        <x:v>Samples per attempt</x:v>
      </x:c>
      <x:c r="B38" s="24" t="n">
        <x:v>10</x:v>
      </x:c>
      <x:c r="C38" s="21" t="str">
        <x:v>samples</x:v>
      </x:c>
      <x:c r="D38" s="21" t="str">
        <x:v>selected</x:v>
      </x:c>
    </x:row>
    <x:row r="39">
      <x:c r="A39" s="21" t="str">
        <x:v>Regeneration work packages per attempt</x:v>
      </x:c>
      <x:c r="B39" s="24" t="n">
        <x:v>20</x:v>
      </x:c>
      <x:c r="C39" s="21" t="str">
        <x:v>work packages</x:v>
      </x:c>
      <x:c r="D39" s="21" t="str">
        <x:v>selected</x:v>
      </x:c>
    </x:row>
    <x:row r="40">
      <x:c r="A40" s="21" t="str">
        <x:v>Re-entry decisions per attempt</x:v>
      </x:c>
      <x:c r="B40" s="24" t="n">
        <x:v>14</x:v>
      </x:c>
      <x:c r="C40" s="21" t="str">
        <x:v>decisions</x:v>
      </x:c>
      <x:c r="D40" s="21" t="str">
        <x:v>selected</x:v>
      </x:c>
    </x:row>
    <x:row r="41">
      <x:c r="A41" s="21" t="str">
        <x:v>Replay decisions per attempt</x:v>
      </x:c>
      <x:c r="B41" s="24" t="n">
        <x:v>24</x:v>
      </x:c>
      <x:c r="C41" s="21" t="str">
        <x:v>decisions</x:v>
      </x:c>
      <x:c r="D41" s="21" t="str">
        <x:v>inherited</x:v>
      </x:c>
    </x:row>
    <x:row r="42">
      <x:c r="A42" s="21" t="str">
        <x:v>Minimum same-rig interval</x:v>
      </x:c>
      <x:c r="B42" s="24" t="n">
        <x:v>504</x:v>
      </x:c>
      <x:c r="C42" s="21" t="str">
        <x:v>hours</x:v>
      </x:c>
      <x:c r="D42" s="21" t="str">
        <x:v>selected</x:v>
      </x:c>
    </x:row>
    <x:row r="43">
      <x:c r="A43" s="21" t="str">
        <x:v>Evidence rate</x:v>
      </x:c>
      <x:c r="B43" s="24" t="n">
        <x:v>53.40384</x:v>
      </x:c>
      <x:c r="C43" s="21" t="str">
        <x:v>MB/s</x:v>
      </x:c>
      <x:c r="D43" s="21" t="str">
        <x:v>inherited</x:v>
      </x:c>
    </x:row>
    <x:row r="44">
      <x:c r="A44" s="21" t="str">
        <x:v>Full-rate interval</x:v>
      </x:c>
      <x:c r="B44" s="24" t="n">
        <x:v>900</x:v>
      </x:c>
      <x:c r="C44" s="21" t="str">
        <x:v>s</x:v>
      </x:c>
      <x:c r="D44" s="21" t="str">
        <x:v>selected</x:v>
      </x:c>
    </x:row>
    <x:row r="45">
      <x:c r="A45" s="21" t="str">
        <x:v>Tail interval</x:v>
      </x:c>
      <x:c r="B45" s="24" t="n">
        <x:v>43200</x:v>
      </x:c>
      <x:c r="C45" s="21" t="str">
        <x:v>s</x:v>
      </x:c>
      <x:c r="D45" s="21" t="str">
        <x:v>selected</x:v>
      </x:c>
    </x:row>
    <x:row r="46">
      <x:c r="A46" s="21" t="str">
        <x:v>Tail-rate fraction</x:v>
      </x:c>
      <x:c r="B46" s="24" t="n">
        <x:v>0.01</x:v>
      </x:c>
      <x:c r="C46" s="21" t="str">
        <x:v>fraction</x:v>
      </x:c>
      <x:c r="D46" s="21" t="str">
        <x:v>inherited</x:v>
      </x:c>
    </x:row>
    <x:row r="47">
      <x:c r="A47" s="21" t="str">
        <x:v>Native originals</x:v>
      </x:c>
      <x:c r="B47" s="24" t="n">
        <x:v>2</x:v>
      </x:c>
      <x:c r="C47" s="21" t="str">
        <x:v>copies</x:v>
      </x:c>
      <x:c r="D47" s="21" t="str">
        <x:v>inherited</x:v>
      </x:c>
    </x:row>
    <x:row r="48">
      <x:c r="A48" s="21" t="str">
        <x:v>Custody factor</x:v>
      </x:c>
      <x:c r="B48" s="24" t="n">
        <x:v>1.35</x:v>
      </x:c>
      <x:c r="C48" s="21" t="str">
        <x:v>factor</x:v>
      </x:c>
      <x:c r="D48" s="21" t="str">
        <x:v>inherited</x:v>
      </x:c>
    </x:row>
    <x:row r="49">
      <x:c r="A49" s="21" t="str">
        <x:v>Governed capacity factor</x:v>
      </x:c>
      <x:c r="B49" s="24" t="n">
        <x:v>1.3</x:v>
      </x:c>
      <x:c r="C49" s="21" t="str">
        <x:v>factor</x:v>
      </x:c>
      <x:c r="D49" s="21" t="str">
        <x:v>inherited</x:v>
      </x:c>
    </x:row>
    <x:row r="50">
      <x:c r="A50" s="21" t="str">
        <x:v>Active packages per root family</x:v>
      </x:c>
      <x:c r="B50" s="24" t="n">
        <x:v>6</x:v>
      </x:c>
      <x:c r="C50" s="21" t="str">
        <x:v>packages</x:v>
      </x:c>
      <x:c r="D50" s="21" t="str">
        <x:v>design</x:v>
      </x:c>
    </x:row>
    <x:row r="51">
      <x:c r="A51" s="21" t="str">
        <x:v>Operational reserves per root family</x:v>
      </x:c>
      <x:c r="B51" s="24" t="n">
        <x:v>7</x:v>
      </x:c>
      <x:c r="C51" s="21" t="str">
        <x:v>packages</x:v>
      </x:c>
      <x:c r="D51" s="21" t="str">
        <x:v>selected</x:v>
      </x:c>
    </x:row>
    <x:row r="52">
      <x:c r="A52" s="21" t="str">
        <x:v>Forensic references per root family</x:v>
      </x:c>
      <x:c r="B52" s="24" t="n">
        <x:v>1</x:v>
      </x:c>
      <x:c r="C52" s="21" t="str">
        <x:v>package</x:v>
      </x:c>
      <x:c r="D52" s="21" t="str">
        <x:v>selected</x:v>
      </x:c>
    </x:row>
    <x:row r="53">
      <x:c r="A53" s="21" t="str">
        <x:v>Gross package mass</x:v>
      </x:c>
      <x:c r="B53" s="24" t="n">
        <x:v>300</x:v>
      </x:c>
      <x:c r="C53" s="21" t="str">
        <x:v>kg</x:v>
      </x:c>
      <x:c r="D53" s="21" t="str">
        <x:v>selected</x:v>
      </x:c>
    </x:row>
    <x:row r="54">
      <x:c r="A54" s="21" t="str">
        <x:v>Retained assay</x:v>
      </x:c>
      <x:c r="B54" s="24" t="n">
        <x:v>15</x:v>
      </x:c>
      <x:c r="C54" s="21" t="str">
        <x:v>kg</x:v>
      </x:c>
      <x:c r="D54" s="21" t="str">
        <x:v>selected</x:v>
      </x:c>
    </x:row>
    <x:row r="55">
      <x:c r="A55" s="21" t="str">
        <x:v>Conditioning allocation</x:v>
      </x:c>
      <x:c r="B55" s="24" t="n">
        <x:v>20</x:v>
      </x:c>
      <x:c r="C55" s="21" t="str">
        <x:v>kg</x:v>
      </x:c>
      <x:c r="D55" s="21" t="str">
        <x:v>selected</x:v>
      </x:c>
    </x:row>
    <x:row r="56">
      <x:c r="A56" s="21" t="str">
        <x:v>Quarantine allocation</x:v>
      </x:c>
      <x:c r="B56" s="24" t="n">
        <x:v>15</x:v>
      </x:c>
      <x:c r="C56" s="21" t="str">
        <x:v>kg</x:v>
      </x:c>
      <x:c r="D56" s="21" t="str">
        <x:v>selected</x:v>
      </x:c>
    </x:row>
    <x:row r="57">
      <x:c r="A57" s="21" t="str">
        <x:v>Maximum future class attempts</x:v>
      </x:c>
      <x:c r="B57" s="24" t="n">
        <x:v>26</x:v>
      </x:c>
      <x:c r="C57" s="21" t="str">
        <x:v>attempts</x:v>
      </x:c>
      <x:c r="D57" s="21" t="str">
        <x:v>calculated</x:v>
      </x:c>
    </x:row>
    <x:row r="58">
      <x:c r="A58" s="21" t="str">
        <x:v>Maximum first-event attempts</x:v>
      </x:c>
      <x:c r="B58" s="24" t="n">
        <x:v>2</x:v>
      </x:c>
      <x:c r="C58" s="21" t="str">
        <x:v>attempts</x:v>
      </x:c>
      <x:c r="D58" s="21" t="str">
        <x:v>authority</x:v>
      </x:c>
    </x:row>
    <x:row r="59">
      <x:c r="A59" s="21" t="str">
        <x:v>Assigned establishment</x:v>
      </x:c>
      <x:c r="B59" s="24" t="n">
        <x:v>384</x:v>
      </x:c>
      <x:c r="C59" s="21" t="str">
        <x:v>positions</x:v>
      </x:c>
      <x:c r="D59" s="21" t="str">
        <x:v>RAS-1</x:v>
      </x:c>
    </x:row>
    <x:row r="60">
      <x:c r="A60" s="21" t="str">
        <x:v>Selected event unit</x:v>
      </x:c>
      <x:c r="B60" s="24" t="n">
        <x:v>64</x:v>
      </x:c>
      <x:c r="C60" s="21" t="str">
        <x:v>positions</x:v>
      </x:c>
      <x:c r="D60" s="21" t="str">
        <x:v>selected</x:v>
      </x:c>
    </x:row>
    <x:row r="61">
      <x:c r="A61" s="21" t="str">
        <x:v>Capital allocation</x:v>
      </x:c>
      <x:c r="B61" s="24" t="n">
        <x:v>54</x:v>
      </x:c>
      <x:c r="C61" s="21" t="str">
        <x:v>USD M</x:v>
      </x:c>
      <x:c r="D61" s="21" t="str">
        <x:v>allocation</x:v>
      </x:c>
    </x:row>
    <x:row r="62">
      <x:c r="A62" s="21" t="str">
        <x:v>Annual support</x:v>
      </x:c>
      <x:c r="B62" s="24" t="n">
        <x:v>12</x:v>
      </x:c>
      <x:c r="C62" s="21" t="str">
        <x:v>USD M/year</x:v>
      </x:c>
      <x:c r="D62" s="21" t="str">
        <x:v>allocation</x:v>
      </x:c>
    </x:row>
    <x:row r="63">
      <x:c r="A63" s="21" t="str">
        <x:v>Technology cross-classification</x:v>
      </x:c>
      <x:c r="B63" s="24" t="n">
        <x:v>105</x:v>
      </x:c>
      <x:c r="C63" s="21" t="str">
        <x:v>USD M</x:v>
      </x:c>
      <x:c r="D63" s="21" t="str">
        <x:v>allocation</x:v>
      </x:c>
    </x:row>
    <x:row r="64">
      <x:c r="A64" s="21" t="str">
        <x:v>Stage duration</x:v>
      </x:c>
      <x:c r="B64" s="24" t="n">
        <x:v>9</x:v>
      </x:c>
      <x:c r="C64" s="21" t="str">
        <x:v>months</x:v>
      </x:c>
      <x:c r="D64" s="21" t="str">
        <x:v>schedule</x:v>
      </x:c>
    </x:row>
    <x:row r="65">
      <x:c r="A65" s="21" t="str">
        <x:v>RAS-1 capital</x:v>
      </x:c>
      <x:c r="B65" s="24" t="n">
        <x:v>620</x:v>
      </x:c>
      <x:c r="C65" s="21" t="str">
        <x:v>USD M</x:v>
      </x:c>
      <x:c r="D65" s="21" t="str">
        <x:v>parent</x:v>
      </x:c>
    </x:row>
    <x:row r="66">
      <x:c r="A66" s="21" t="str">
        <x:v>Capital through RBB-1</x:v>
      </x:c>
      <x:c r="B66" s="24" t="n">
        <x:v>444</x:v>
      </x:c>
      <x:c r="C66" s="21" t="str">
        <x:v>USD M</x:v>
      </x:c>
      <x:c r="D66" s="21" t="str">
        <x:v>prior children</x:v>
      </x:c>
    </x:row>
    <x:row r="67">
      <x:c r="A67" s="21" t="str">
        <x:v>RAS-1 annual support</x:v>
      </x:c>
      <x:c r="B67" s="24" t="n">
        <x:v>235</x:v>
      </x:c>
      <x:c r="C67" s="21" t="str">
        <x:v>USD M/year</x:v>
      </x:c>
      <x:c r="D67" s="21" t="str">
        <x:v>parent</x:v>
      </x:c>
    </x:row>
    <x:row r="68">
      <x:c r="A68" s="21" t="str">
        <x:v>Annual support through RBB-1</x:v>
      </x:c>
      <x:c r="B68" s="24" t="n">
        <x:v>200</x:v>
      </x:c>
      <x:c r="C68" s="21" t="str">
        <x:v>USD M/year</x:v>
      </x:c>
      <x:c r="D68" s="21" t="str">
        <x:v>prior children</x:v>
      </x:c>
    </x:row>
    <x:row r="69">
      <x:c r="A69" s="21" t="str">
        <x:v>RAS-1 technology</x:v>
      </x:c>
      <x:c r="B69" s="24" t="n">
        <x:v>1005</x:v>
      </x:c>
      <x:c r="C69" s="21" t="str">
        <x:v>USD M</x:v>
      </x:c>
      <x:c r="D69" s="21" t="str">
        <x:v>parent</x:v>
      </x:c>
    </x:row>
    <x:row r="70">
      <x:c r="A70" s="21" t="str">
        <x:v>Technology through RBB-1</x:v>
      </x:c>
      <x:c r="B70" s="24" t="n">
        <x:v>690</x:v>
      </x:c>
      <x:c r="C70" s="21" t="str">
        <x:v>USD M</x:v>
      </x:c>
      <x:c r="D70" s="21" t="str">
        <x:v>prior children</x:v>
      </x:c>
    </x:row>
    <x:row r="71">
      <x:c r="A71" s="21" t="str">
        <x:v>RAS-1 gross exposure</x:v>
      </x:c>
      <x:c r="B71" s="24" t="n">
        <x:v>1207.5</x:v>
      </x:c>
      <x:c r="C71" s="21" t="str">
        <x:v>USD M</x:v>
      </x:c>
      <x:c r="D71" s="21" t="str">
        <x:v>parent</x:v>
      </x:c>
    </x:row>
    <x:row r="72">
      <x:c r="A72" s="21" t="str">
        <x:v>Stage exposure through RBB-1</x:v>
      </x:c>
      <x:c r="B72" s="24" t="n">
        <x:v>728</x:v>
      </x:c>
      <x:c r="C72" s="21" t="str">
        <x:v>USD M</x:v>
      </x:c>
      <x:c r="D72" s="21" t="str">
        <x:v>prior children</x:v>
      </x:c>
    </x:row>
    <x:row r="73">
      <x:c r="A73" s="21" t="str">
        <x:v>Release-aware month before RBC-1</x:v>
      </x:c>
      <x:c r="B73" s="24" t="n">
        <x:v>90</x:v>
      </x:c>
      <x:c r="C73" s="21" t="str">
        <x:v>month</x:v>
      </x:c>
      <x:c r="D73" s="21" t="str">
        <x:v>schedule</x:v>
      </x:c>
    </x:row>
    <x:row r="74">
      <x:c r="A74" s="21" t="str">
        <x:v>Sequential month before RBC-1</x:v>
      </x:c>
      <x:c r="B74" s="24" t="n">
        <x:v>114</x:v>
      </x:c>
      <x:c r="C74" s="21" t="str">
        <x:v>month</x:v>
      </x:c>
      <x:c r="D74" s="21" t="str">
        <x:v>schedule</x:v>
      </x:c>
    </x:row>
    <x:row r="75">
      <x:c r="A75" s="21" t="str">
        <x:v>Minimum planning validity rate</x:v>
      </x:c>
      <x:c r="B75" s="24" t="n">
        <x:v>0.7</x:v>
      </x:c>
      <x:c r="C75" s="21" t="str">
        <x:v>fraction</x:v>
      </x:c>
      <x:c r="D75" s="21" t="str">
        <x:v>hypothesis</x:v>
      </x:c>
    </x:row>
    <x:row r="76">
      <x:c r="A76" s="21" t="str">
        <x:v>Comparison validity rate</x:v>
      </x:c>
      <x:c r="B76" s="24" t="n">
        <x:v>0.8</x:v>
      </x:c>
      <x:c r="C76" s="21" t="str">
        <x:v>fraction</x:v>
      </x:c>
      <x:c r="D76" s="21" t="str">
        <x:v>hypothesis</x:v>
      </x:c>
    </x:row>
    <x:row r="77">
      <x:c r="A77" s="21" t="str">
        <x:v>Model seed index</x:v>
      </x:c>
      <x:c r="B77" s="24" t="n">
        <x:v>12</x:v>
      </x:c>
      <x:c r="C77" s="21" t="str">
        <x:v>index</x:v>
      </x:c>
      <x:c r="D77" s="21" t="str">
        <x:v>example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52" hidden="0" customWidth="1"/>
    <x:col min="3" max="3" width="45" hidden="0" customWidth="1"/>
    <x:col min="4" max="4" width="48" hidden="0" customWidth="1"/>
  </x:cols>
  <x:sheetData>
    <x:row r="1" ht="28" customHeight="1">
      <x:c r="A1" s="17" t="str">
        <x:v>RBC-1 claim boundary</x:v>
      </x:c>
      <x:c r="B1" s="17"/>
      <x:c r="C1" s="17"/>
      <x:c r="D1" s="17"/>
    </x:row>
    <x:row r="2" ht="34" customHeight="1">
      <x:c r="A2" s="18" t="str">
        <x:v>One credited event can open only the complete AM-05 QE-03 class constitution.</x:v>
      </x:c>
      <x:c r="B2" s="18"/>
      <x:c r="C2" s="18"/>
      <x:c r="D2" s="18"/>
    </x:row>
    <x:row r="3">
      <x:c r="A3" s="19"/>
      <x:c r="B3" s="19"/>
      <x:c r="C3" s="19"/>
      <x:c r="D3" s="19"/>
    </x:row>
    <x:row r="4">
      <x:c r="A4" s="20" t="str">
        <x:v>Object</x:v>
      </x:c>
      <x:c r="B4" s="20" t="str">
        <x:v>Required evidence</x:v>
      </x:c>
      <x:c r="C4" s="20" t="str">
        <x:v>Maximum possible decision</x:v>
      </x:c>
      <x:c r="D4" s="20" t="str">
        <x:v>Still prohibited</x:v>
      </x:c>
    </x:row>
    <x:row r="5">
      <x:c r="A5" s="21" t="str">
        <x:v>Rate-extension campaign</x:v>
      </x:c>
      <x:c r="B5" s="21" t="str">
        <x:v>24 accepted SF-800 trials</x:v>
      </x:c>
      <x:c r="C5" s="21" t="str">
        <x:v>rig eligibility</x:v>
      </x:c>
      <x:c r="D5" s="21" t="str">
        <x:v>energetic credit</x:v>
      </x:c>
    </x:row>
    <x:row r="6">
      <x:c r="A6" s="21" t="str">
        <x:v>Selected attempt</x:v>
      </x:c>
      <x:c r="B6" s="21" t="str">
        <x:v>42 gates and 217 bindings</x:v>
      </x:c>
      <x:c r="C6" s="21" t="str">
        <x:v>valid, invalid or adverse event disposition</x:v>
      </x:c>
      <x:c r="D6" s="21" t="str">
        <x:v>substitution of result</x:v>
      </x:c>
    </x:row>
    <x:row r="7">
      <x:c r="A7" s="21" t="str">
        <x:v>Exact QE-03 cell</x:v>
      </x:c>
      <x:c r="B7" s="21" t="str">
        <x:v>valid accepted event and return</x:v>
      </x:c>
      <x:c r="C7" s="21" t="str">
        <x:v>one cell credit</x:v>
      </x:c>
      <x:c r="D7" s="21" t="str">
        <x:v>transfer across eleven cells</x:v>
      </x:c>
    </x:row>
    <x:row r="8">
      <x:c r="A8" s="21" t="str">
        <x:v>QE-03 AM-05 class</x:v>
      </x:c>
      <x:c r="B8" s="21" t="str">
        <x:v>absent</x:v>
      </x:c>
      <x:c r="C8" s="21" t="str">
        <x:v>permission to constitute RBD-1</x:v>
      </x:c>
      <x:c r="D8" s="21" t="str">
        <x:v>second event issue</x:v>
      </x:c>
    </x:row>
    <x:row r="9">
      <x:c r="A9" s="21" t="str">
        <x:v>QE-03 AM-06</x:v>
      </x:c>
      <x:c r="B9" s="21" t="str">
        <x:v>flame-state evidence absent</x:v>
      </x:c>
      <x:c r="C9" s="21" t="str">
        <x:v>none</x:v>
      </x:c>
      <x:c r="D9" s="21" t="str">
        <x:v>constitution or event</x:v>
      </x:c>
    </x:row>
    <x:row r="10">
      <x:c r="A10" s="21" t="str">
        <x:v>500 kg entry</x:v>
      </x:c>
      <x:c r="B10" s="21" t="str">
        <x:v>absent</x:v>
      </x:c>
      <x:c r="C10" s="21" t="str">
        <x:v>none</x:v>
      </x:c>
      <x:c r="D10" s="21" t="str">
        <x:v>QE-04 issue</x:v>
      </x:c>
    </x:row>
    <x:row r="11">
      <x:c r="A11" s="21" t="str">
        <x:v>Candidate system</x:v>
      </x:c>
      <x:c r="B11" s="21" t="str">
        <x:v>absent</x:v>
      </x:c>
      <x:c r="C11" s="21" t="str">
        <x:v>none</x:v>
      </x:c>
      <x:c r="D11" s="21" t="str">
        <x:v>admission or performance</x:v>
      </x:c>
    </x:row>
    <x:row r="12">
      <x:c r="A12" s="21" t="str">
        <x:v>Operational system</x:v>
      </x:c>
      <x:c r="B12" s="21" t="str">
        <x:v>absent</x:v>
      </x:c>
      <x:c r="C12" s="21" t="str">
        <x:v>none</x:v>
      </x:c>
      <x:c r="D12" s="21" t="str">
        <x:v>production or exterior form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19" hidden="0" customWidth="1"/>
    <x:col min="3" max="3" width="20" hidden="0" customWidth="1"/>
    <x:col min="4" max="4" width="20" hidden="0" customWidth="1"/>
    <x:col min="5" max="5" width="23" hidden="0" customWidth="1"/>
  </x:cols>
  <x:sheetData>
    <x:row r="1" ht="28" customHeight="1">
      <x:c r="A1" s="17" t="str">
        <x:v>QE-02 to QE-03 scale vector</x:v>
      </x:c>
      <x:c r="B1" s="17"/>
      <x:c r="C1" s="17"/>
      <x:c r="D1" s="17"/>
      <x:c r="E1" s="17"/>
    </x:row>
    <x:row r="2" ht="34" customHeight="1">
      <x:c r="A2" s="18" t="str">
        <x:v>Each physical state scales independently. Ratios do not create transfer authority.</x:v>
      </x:c>
      <x:c r="B2" s="18"/>
      <x:c r="C2" s="18"/>
      <x:c r="D2" s="18"/>
      <x:c r="E2" s="18"/>
    </x:row>
    <x:row r="3">
      <x:c r="A3" s="19"/>
      <x:c r="B3" s="19"/>
      <x:c r="C3" s="19"/>
      <x:c r="D3" s="19"/>
      <x:c r="E3" s="19"/>
    </x:row>
    <x:row r="4">
      <x:c r="A4" s="20" t="str">
        <x:v>State</x:v>
      </x:c>
      <x:c r="B4" s="20" t="str">
        <x:v>Unit</x:v>
      </x:c>
      <x:c r="C4" s="20" t="str">
        <x:v>QE-02</x:v>
      </x:c>
      <x:c r="D4" s="20" t="str">
        <x:v>QE-03</x:v>
      </x:c>
      <x:c r="E4" s="20" t="str">
        <x:v>QE-03 / QE-02</x:v>
      </x:c>
    </x:row>
    <x:row r="5">
      <x:c r="A5" s="21" t="str">
        <x:v>Admitted mass</x:v>
      </x:c>
      <x:c r="B5" s="21" t="str">
        <x:v>kg</x:v>
      </x:c>
      <x:c r="C5" s="22" t="n">
        <x:v>100</x:v>
      </x:c>
      <x:c r="D5" s="22" t="n">
        <x:v>250</x:v>
      </x:c>
      <x:c r="E5" s="22" t="n">
        <x:f>D5/C5</x:f>
        <x:v>2.5</x:v>
      </x:c>
    </x:row>
    <x:row r="6">
      <x:c r="A6" s="21" t="str">
        <x:v>Source volume</x:v>
      </x:c>
      <x:c r="B6" s="21" t="str">
        <x:v>m3</x:v>
      </x:c>
      <x:c r="C6" s="22" t="n">
        <x:f>C5/Controls!B10</x:f>
        <x:v>0.125</x:v>
      </x:c>
      <x:c r="D6" s="22" t="n">
        <x:f>D5/Controls!B10</x:f>
        <x:v>0.3125</x:v>
      </x:c>
      <x:c r="E6" s="22" t="n">
        <x:f>D6/C6</x:f>
        <x:v>2.5</x:v>
      </x:c>
    </x:row>
    <x:row r="7">
      <x:c r="A7" s="21" t="str">
        <x:v>Bounded area</x:v>
      </x:c>
      <x:c r="B7" s="21" t="str">
        <x:v>m2</x:v>
      </x:c>
      <x:c r="C7" s="22" t="n">
        <x:v>2.5</x:v>
      </x:c>
      <x:c r="D7" s="22" t="n">
        <x:v>5</x:v>
      </x:c>
      <x:c r="E7" s="22" t="n">
        <x:f>D7/C7</x:f>
        <x:v>2</x:v>
      </x:c>
    </x:row>
    <x:row r="8">
      <x:c r="A8" s="21" t="str">
        <x:v>Mean depth</x:v>
      </x:c>
      <x:c r="B8" s="21" t="str">
        <x:v>m</x:v>
      </x:c>
      <x:c r="C8" s="22" t="n">
        <x:f>C6/C7</x:f>
        <x:v>0.05</x:v>
      </x:c>
      <x:c r="D8" s="22" t="n">
        <x:f>D6/D7</x:f>
        <x:v>0.0625</x:v>
      </x:c>
      <x:c r="E8" s="22" t="n">
        <x:f>D8/C8</x:f>
        <x:v>1.25</x:v>
      </x:c>
    </x:row>
    <x:row r="9">
      <x:c r="A9" s="21" t="str">
        <x:v>Mass rate</x:v>
      </x:c>
      <x:c r="B9" s="21" t="str">
        <x:v>kg/s</x:v>
      </x:c>
      <x:c r="C9" s="22" t="n">
        <x:f>C5/Controls!B12</x:f>
        <x:v>0.8333333333333334</x:v>
      </x:c>
      <x:c r="D9" s="22" t="n">
        <x:f>D5/Controls!B12</x:f>
        <x:v>2.0833333333333335</x:v>
      </x:c>
      <x:c r="E9" s="22" t="n">
        <x:f>D9/C9</x:f>
        <x:v>2.5</x:v>
      </x:c>
    </x:row>
    <x:row r="10">
      <x:c r="A10" s="21" t="str">
        <x:v>Route velocity</x:v>
      </x:c>
      <x:c r="B10" s="21" t="str">
        <x:v>m/s</x:v>
      </x:c>
      <x:c r="C10" s="22" t="n">
        <x:f>C9/Controls!B13/(PI()*Controls!B13^2/4)</x:f>
        <x:v>16578.639905405766</x:v>
      </x:c>
      <x:c r="D10" s="22" t="n">
        <x:f>D9/Controls!B13/(PI()*Controls!B13^2/4)</x:f>
        <x:v>41446.599763514416</x:v>
      </x:c>
      <x:c r="E10" s="22" t="n">
        <x:f>D10/C10</x:f>
        <x:v>2.5</x:v>
      </x:c>
    </x:row>
    <x:row r="11">
      <x:c r="A11" s="21" t="str">
        <x:v>Reynolds number</x:v>
      </x:c>
      <x:c r="B11" s="21" t="str">
        <x:v>dimensionless</x:v>
      </x:c>
      <x:c r="C11" s="22" t="n">
        <x:f>Controls!B10*C10*Controls!B13/Controls!B15</x:f>
        <x:v>132629119.24324612</x:v>
      </x:c>
      <x:c r="D11" s="22" t="n">
        <x:f>Controls!B10*D10*Controls!B13/Controls!B15</x:f>
        <x:v>331572798.1081153</x:v>
      </x:c>
      <x:c r="E11" s="22" t="n">
        <x:f>D11/C11</x:f>
        <x:v>2.5</x:v>
      </x:c>
    </x:row>
    <x:row r="12">
      <x:c r="A12" s="21" t="str">
        <x:v>Froude number</x:v>
      </x:c>
      <x:c r="B12" s="21" t="str">
        <x:v>dimensionless</x:v>
      </x:c>
      <x:c r="C12" s="22" t="n">
        <x:f>C10/SQRT(Controls!B17*Controls!B13)</x:f>
        <x:v>26470.28182240979</x:v>
      </x:c>
      <x:c r="D12" s="22" t="n">
        <x:f>D10/SQRT(Controls!B17*Controls!B13)</x:f>
        <x:v>66175.70455602447</x:v>
      </x:c>
      <x:c r="E12" s="22" t="n">
        <x:f>D12/C12</x:f>
        <x:v>2.5</x:v>
      </x:c>
    </x:row>
    <x:row r="13">
      <x:c r="A13" s="21" t="str">
        <x:v>Weber number</x:v>
      </x:c>
      <x:c r="B13" s="21" t="str">
        <x:v>dimensionless</x:v>
      </x:c>
      <x:c r="C13" s="22" t="n">
        <x:f>Controls!B10*C10^2*Controls!B13/Controls!B16</x:f>
        <x:v>351809665424.784</x:v>
      </x:c>
      <x:c r="D13" s="22" t="n">
        <x:f>Controls!B10*D10^2*Controls!B13/Controls!B16</x:f>
        <x:v>2198810408904.9004</x:v>
      </x:c>
      <x:c r="E13" s="22" t="n">
        <x:f>D13/C13</x:f>
        <x:v>6.250000000000001</x:v>
      </x:c>
    </x:row>
    <x:row r="14">
      <x:c r="A14" s="21" t="str">
        <x:v>Static line inventory</x:v>
      </x:c>
      <x:c r="B14" s="21" t="str">
        <x:v>kg</x:v>
      </x:c>
      <x:c r="C14" s="22" t="n">
        <x:f>PI()*Controls!B13^2/4*Controls!B14*Controls!B10</x:f>
        <x:v>12.063715789784805</x:v>
      </x:c>
      <x:c r="D14" s="22" t="n">
        <x:f>C14</x:f>
        <x:v>12.063715789784805</x:v>
      </x:c>
      <x:c r="E14" s="22" t="n">
        <x:f>D14/C14</x:f>
        <x:v>1</x:v>
      </x:c>
    </x:row>
    <x:row r="15">
      <x:c r="A15" s="21" t="str">
        <x:v>Line share of admitted mass</x:v>
      </x:c>
      <x:c r="B15" s="21" t="str">
        <x:v>fraction</x:v>
      </x:c>
      <x:c r="C15" s="22" t="n">
        <x:f>C14/C5</x:f>
        <x:v>0.12063715789784805</x:v>
      </x:c>
      <x:c r="D15" s="22" t="n">
        <x:f>D14/D5</x:f>
        <x:v>0.04825486315913922</x:v>
      </x:c>
      <x:c r="E15" s="22" t="n">
        <x:f>D15/C15</x:f>
        <x:v>0.39999999999999997</x:v>
      </x:c>
    </x:row>
    <x:row r="16">
      <x:c r="A16" s="21" t="str">
        <x:v>Instantaneous surge screen</x:v>
      </x:c>
      <x:c r="B16" s="21" t="str">
        <x:v>MPa</x:v>
      </x:c>
      <x:c r="C16" s="22" t="n">
        <x:f>Controls!B10*Controls!B18*C10/1000000</x:f>
        <x:v>13262.911924324611</x:v>
      </x:c>
      <x:c r="D16" s="22" t="n">
        <x:f>Controls!B10*Controls!B18*D10/1000000</x:f>
        <x:v>33157.27981081153</x:v>
      </x:c>
      <x:c r="E16" s="22" t="n">
        <x:f>D16/C16</x:f>
        <x:v>2.5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9" hidden="0" customWidth="1"/>
    <x:col min="5" max="5" width="18" hidden="0" customWidth="1"/>
    <x:col min="6" max="6" width="18" hidden="0" customWidth="1"/>
    <x:col min="7" max="7" width="15" hidden="0" customWidth="1"/>
    <x:col min="8" max="8" width="18" hidden="0" customWidth="1"/>
    <x:col min="9" max="9" width="19" hidden="0" customWidth="1"/>
    <x:col min="10" max="10" width="17" hidden="0" customWidth="1"/>
    <x:col min="11" max="11" width="21" hidden="0" customWidth="1"/>
    <x:col min="12" max="12" width="29" hidden="0" customWidth="1"/>
  </x:cols>
  <x:sheetData>
    <x:row r="1" ht="28" customHeight="1">
      <x:c r="A1" s="17" t="str">
        <x:v>Hydraulic operating envelope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4" customHeight="1">
      <x:c r="A2" s="18" t="str">
        <x:v>Steady loss, slope and instantaneous closure are separate screens.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20" t="str">
        <x:v>Case</x:v>
      </x:c>
      <x:c r="B4" s="20" t="str">
        <x:v>Mass kg</x:v>
      </x:c>
      <x:c r="C4" s="20" t="str">
        <x:v>Time s</x:v>
      </x:c>
      <x:c r="D4" s="20" t="str">
        <x:v>Mass rate kg/s</x:v>
      </x:c>
      <x:c r="E4" s="20" t="str">
        <x:v>Velocity m/s</x:v>
      </x:c>
      <x:c r="F4" s="20" t="str">
        <x:v>Reynolds</x:v>
      </x:c>
      <x:c r="G4" s="20" t="str">
        <x:v>Darcy f</x:v>
      </x:c>
      <x:c r="H4" s="20" t="str">
        <x:v>Friction kPa</x:v>
      </x:c>
      <x:c r="I4" s="20" t="str">
        <x:v>Slope ±2° kPa</x:v>
      </x:c>
      <x:c r="J4" s="20" t="str">
        <x:v>Surge MPa</x:v>
      </x:c>
      <x:c r="K4" s="20" t="str">
        <x:v>Design margin MPa</x:v>
      </x:c>
      <x:c r="L4" s="20" t="str">
        <x:v>Use</x:v>
      </x:c>
    </x:row>
    <x:row r="5">
      <x:c r="A5" s="21" t="str">
        <x:v>QE-02 nominal</x:v>
      </x:c>
      <x:c r="B5" s="22" t="n">
        <x:v>100</x:v>
      </x:c>
      <x:c r="C5" s="22" t="n">
        <x:v>120</x:v>
      </x:c>
      <x:c r="D5" s="22" t="n">
        <x:f>B5/C5</x:f>
        <x:v>0.8333333333333334</x:v>
      </x:c>
      <x:c r="E5" s="22" t="n">
        <x:f>(B5/Controls!B10/C5)/(PI()*Controls!B13^2/4)</x:f>
        <x:v>0.8289319952702883</x:v>
      </x:c>
      <x:c r="F5" s="22" t="n">
        <x:f>Controls!B10*E5*Controls!B13/Controls!B15</x:f>
        <x:v>6631.455962162306</x:v>
      </x:c>
      <x:c r="G5" s="22" t="n">
        <x:f>0.3164/F5^0.25</x:f>
        <x:v>0.035061803571307636</x:v>
      </x:c>
      <x:c r="H5" s="22" t="n">
        <x:f>G5*(Controls!B14/Controls!B13)*(Controls!B10*E5^2/2)/1000</x:f>
        <x:v>2.891034699283883</x:v>
      </x:c>
      <x:c r="I5" s="22" t="n">
        <x:f>Controls!B10*Controls!B17*Controls!B14*SIN(2*PI()/180)/1000</x:f>
        <x:v>3.2855726336407787</x:v>
      </x:c>
      <x:c r="J5" s="22" t="n">
        <x:f>Controls!B10*Controls!B18*E5/1000000</x:f>
        <x:v>0.6631455962162307</x:v>
      </x:c>
      <x:c r="K5" s="22" t="n">
        <x:f>Controls!B21-J5</x:f>
        <x:v>1.3368544037837693</x:v>
      </x:c>
      <x:c r="L5" s="21" t="str">
        <x:v>prior event</x:v>
      </x:c>
    </x:row>
    <x:row r="6">
      <x:c r="A6" s="21" t="str">
        <x:v>Prior high-rate bracket</x:v>
      </x:c>
      <x:c r="B6" s="22" t="n">
        <x:v>100</x:v>
      </x:c>
      <x:c r="C6" s="22" t="n">
        <x:v>60</x:v>
      </x:c>
      <x:c r="D6" s="22" t="n">
        <x:f>B6/C6</x:f>
        <x:v>1.6666666666666667</x:v>
      </x:c>
      <x:c r="E6" s="22" t="n">
        <x:f>(B6/Controls!B10/C6)/(PI()*Controls!B13^2/4)</x:f>
        <x:v>1.6578639905405765</x:v>
      </x:c>
      <x:c r="F6" s="22" t="n">
        <x:f>Controls!B10*E6*Controls!B13/Controls!B15</x:f>
        <x:v>13262.911924324611</x:v>
      </x:c>
      <x:c r="G6" s="22" t="n">
        <x:f>0.3164/F6^0.25</x:f>
        <x:v>0.029483344935442475</x:v>
      </x:c>
      <x:c r="H6" s="22" t="n">
        <x:f>G6*(Controls!B14/Controls!B13)*(Controls!B10*E6^2/2)/1000</x:f>
        <x:v>9.72424286000767</x:v>
      </x:c>
      <x:c r="I6" s="22" t="n">
        <x:f>Controls!B10*Controls!B17*Controls!B14*SIN(2*PI()/180)/1000</x:f>
        <x:v>3.2855726336407787</x:v>
      </x:c>
      <x:c r="J6" s="22" t="n">
        <x:f>Controls!B10*Controls!B18*E6/1000000</x:f>
        <x:v>1.3262911924324614</x:v>
      </x:c>
      <x:c r="K6" s="22" t="n">
        <x:f>Controls!B21-J6</x:f>
        <x:v>0.6737088075675386</x:v>
      </x:c>
      <x:c r="L6" s="21" t="str">
        <x:v>prior article screen</x:v>
      </x:c>
    </x:row>
    <x:row r="7">
      <x:c r="A7" s="21" t="str">
        <x:v>QE-03 target</x:v>
      </x:c>
      <x:c r="B7" s="22" t="n">
        <x:v>250</x:v>
      </x:c>
      <x:c r="C7" s="22" t="n">
        <x:v>120</x:v>
      </x:c>
      <x:c r="D7" s="22" t="n">
        <x:f>B7/C7</x:f>
        <x:v>2.0833333333333335</x:v>
      </x:c>
      <x:c r="E7" s="22" t="n">
        <x:f>(B7/Controls!B10/C7)/(PI()*Controls!B13^2/4)</x:f>
        <x:v>2.0723299881757207</x:v>
      </x:c>
      <x:c r="F7" s="22" t="n">
        <x:f>Controls!B10*E7*Controls!B13/Controls!B15</x:f>
        <x:v>16578.639905405766</x:v>
      </x:c>
      <x:c r="G7" s="22" t="n">
        <x:f>0.3164/F7^0.25</x:f>
        <x:v>0.027883626078041</x:v>
      </x:c>
      <x:c r="H7" s="22" t="n">
        <x:f>G7*(Controls!B14/Controls!B13)*(Controls!B10*E7^2/2)/1000</x:f>
        <x:v>14.369720451189528</x:v>
      </x:c>
      <x:c r="I7" s="22" t="n">
        <x:f>Controls!B10*Controls!B17*Controls!B14*SIN(2*PI()/180)/1000</x:f>
        <x:v>3.2855726336407787</x:v>
      </x:c>
      <x:c r="J7" s="22" t="n">
        <x:f>Controls!B10*Controls!B18*E7/1000000</x:f>
        <x:v>1.6578639905405765</x:v>
      </x:c>
      <x:c r="K7" s="22" t="n">
        <x:f>Controls!B21-J7</x:f>
        <x:v>0.34213600945942346</x:v>
      </x:c>
      <x:c r="L7" s="21" t="str">
        <x:v>new operating point</x:v>
      </x:c>
    </x:row>
    <x:row r="8">
      <x:c r="A8" s="21" t="str">
        <x:v>QE-03 110% rate</x:v>
      </x:c>
      <x:c r="B8" s="22" t="n">
        <x:v>250</x:v>
      </x:c>
      <x:c r="C8" s="22" t="n">
        <x:v>109.09090909090908</x:v>
      </x:c>
      <x:c r="D8" s="22" t="n">
        <x:f>B8/C8</x:f>
        <x:v>2.291666666666667</x:v>
      </x:c>
      <x:c r="E8" s="22" t="n">
        <x:f>(B8/Controls!B10/C8)/(PI()*Controls!B13^2/4)</x:f>
        <x:v>2.2795629869932927</x:v>
      </x:c>
      <x:c r="F8" s="22" t="n">
        <x:f>Controls!B10*E8*Controls!B13/Controls!B15</x:f>
        <x:v>18236.50389594634</x:v>
      </x:c>
      <x:c r="G8" s="22" t="n">
        <x:f>0.3164/F8^0.25</x:f>
        <x:v>0.027227080718908152</x:v>
      </x:c>
      <x:c r="H8" s="22" t="n">
        <x:f>G8*(Controls!B14/Controls!B13)*(Controls!B10*E8^2/2)/1000</x:f>
        <x:v>16.977960485503893</x:v>
      </x:c>
      <x:c r="I8" s="22" t="n">
        <x:f>Controls!B10*Controls!B17*Controls!B14*SIN(2*PI()/180)/1000</x:f>
        <x:v>3.2855726336407787</x:v>
      </x:c>
      <x:c r="J8" s="22" t="n">
        <x:f>Controls!B10*Controls!B18*E8/1000000</x:f>
        <x:v>1.8236503895946343</x:v>
      </x:c>
      <x:c r="K8" s="22" t="n">
        <x:f>Controls!B21-J8</x:f>
        <x:v>0.17634961040536568</x:v>
      </x:c>
      <x:c r="L8" s="21" t="str">
        <x:v>noncombustible bracket</x:v>
      </x:c>
    </x:row>
    <x:row r="9">
      <x:c r="A9" s="21" t="str">
        <x:v>QE-03 slow diagnostic</x:v>
      </x:c>
      <x:c r="B9" s="22" t="n">
        <x:v>250</x:v>
      </x:c>
      <x:c r="C9" s="22" t="n">
        <x:v>180</x:v>
      </x:c>
      <x:c r="D9" s="22" t="n">
        <x:f>B9/C9</x:f>
        <x:v>1.3888888888888888</x:v>
      </x:c>
      <x:c r="E9" s="22" t="n">
        <x:f>(B9/Controls!B10/C9)/(PI()*Controls!B13^2/4)</x:f>
        <x:v>1.3815533254504804</x:v>
      </x:c>
      <x:c r="F9" s="22" t="n">
        <x:f>Controls!B10*E9*Controls!B13/Controls!B15</x:f>
        <x:v>11052.426603603843</x:v>
      </x:c>
      <x:c r="G9" s="22" t="n">
        <x:f>0.3164/F9^0.25</x:f>
        <x:v>0.03085830483625236</x:v>
      </x:c>
      <x:c r="H9" s="22" t="n">
        <x:f>G9*(Controls!B14/Controls!B13)*(Controls!B10*E9^2/2)/1000</x:f>
        <x:v>7.0678710286575095</x:v>
      </x:c>
      <x:c r="I9" s="22" t="n">
        <x:f>Controls!B10*Controls!B17*Controls!B14*SIN(2*PI()/180)/1000</x:f>
        <x:v>3.2855726336407787</x:v>
      </x:c>
      <x:c r="J9" s="22" t="n">
        <x:f>Controls!B10*Controls!B18*E9/1000000</x:f>
        <x:v>1.1052426603603842</x:v>
      </x:c>
      <x:c r="K9" s="22" t="n">
        <x:f>Controls!B21-J9</x:f>
        <x:v>0.8947573396396158</x:v>
      </x:c>
      <x:c r="L9" s="21" t="str">
        <x:v>diagnostic 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4" hidden="0" customWidth="1"/>
    <x:col min="4" max="4" width="14" hidden="0" customWidth="1"/>
    <x:col min="5" max="5" width="23" hidden="0" customWidth="1"/>
    <x:col min="6" max="6" width="48" hidden="0" customWidth="1"/>
    <x:col min="7" max="7" width="16" hidden="0" customWidth="1"/>
    <x:col min="8" max="8" width="15" hidden="0" customWidth="1"/>
    <x:col min="9" max="9" width="25" hidden="0" customWidth="1"/>
    <x:col min="10" max="10" width="22" hidden="0" customWidth="1"/>
  </x:cols>
  <x:sheetData>
    <x:row r="1" ht="28" customHeight="1">
      <x:c r="A1" s="17" t="str">
        <x:v>Twenty-four rate-extension trials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34" customHeight="1">
      <x:c r="A2" s="18" t="str">
        <x:v>Noncombustible trials determine rig eligibility but cannot earn QE-03 source credit.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>
      <x:c r="A4" s="20" t="str">
        <x:v>Trial</x:v>
      </x:c>
      <x:c r="B4" s="20" t="str">
        <x:v>Rig</x:v>
      </x:c>
      <x:c r="C4" s="20" t="str">
        <x:v>Campus</x:v>
      </x:c>
      <x:c r="D4" s="20" t="str">
        <x:v>Class</x:v>
      </x:c>
      <x:c r="E4" s="20" t="str">
        <x:v>Condition</x:v>
      </x:c>
      <x:c r="F4" s="20" t="str">
        <x:v>Physical proposition</x:v>
      </x:c>
      <x:c r="G4" s="20" t="str">
        <x:v>Medium</x:v>
      </x:c>
      <x:c r="H4" s="20" t="str">
        <x:v>State</x:v>
      </x:c>
      <x:c r="I4" s="20" t="str">
        <x:v>Packet root</x:v>
      </x:c>
      <x:c r="J4" s="20" t="str">
        <x:v>Decision UTC</x:v>
      </x:c>
    </x:row>
    <x:row r="5">
      <x:c r="A5" s="21" t="str">
        <x:v>RFP-A1-HX-1</x:v>
      </x:c>
      <x:c r="B5" s="21" t="str">
        <x:v>RFP-A1</x:v>
      </x:c>
      <x:c r="C5" s="21" t="str">
        <x:v>PTC-A</x:v>
      </x:c>
      <x:c r="D5" s="21" t="str">
        <x:v>HX-1</x:v>
      </x:c>
      <x:c r="E5" s="21" t="str">
        <x:v>target rate</x:v>
      </x:c>
      <x:c r="F5" s="21" t="str">
        <x:v>2.0833 kg/s transfer</x:v>
      </x:c>
      <x:c r="G5" s="21" t="str">
        <x:v>SF-800</x:v>
      </x:c>
      <x:c r="H5" s="21" t="str">
        <x:v>OPEN</x:v>
      </x:c>
      <x:c r="I5" s="21" t="str"/>
      <x:c r="J5" s="21" t="str"/>
    </x:row>
    <x:row r="6">
      <x:c r="A6" s="21" t="str">
        <x:v>RFP-A1-HX-2</x:v>
      </x:c>
      <x:c r="B6" s="21" t="str">
        <x:v>RFP-A1</x:v>
      </x:c>
      <x:c r="C6" s="21" t="str">
        <x:v>PTC-A</x:v>
      </x:c>
      <x:c r="D6" s="21" t="str">
        <x:v>HX-2</x:v>
      </x:c>
      <x:c r="E6" s="21" t="str">
        <x:v>110% bracket</x:v>
      </x:c>
      <x:c r="F6" s="21" t="str">
        <x:v>2.2917 kg/s transfer</x:v>
      </x:c>
      <x:c r="G6" s="21" t="str">
        <x:v>SF-800</x:v>
      </x:c>
      <x:c r="H6" s="21" t="str">
        <x:v>OPEN</x:v>
      </x:c>
      <x:c r="I6" s="21" t="str"/>
      <x:c r="J6" s="21" t="str"/>
    </x:row>
    <x:row r="7">
      <x:c r="A7" s="21" t="str">
        <x:v>RFP-A1-HX-3</x:v>
      </x:c>
      <x:c r="B7" s="21" t="str">
        <x:v>RFP-A1</x:v>
      </x:c>
      <x:c r="C7" s="21" t="str">
        <x:v>PTC-A</x:v>
      </x:c>
      <x:c r="D7" s="21" t="str">
        <x:v>HX-3</x:v>
      </x:c>
      <x:c r="E7" s="21" t="str">
        <x:v>registered closure</x:v>
      </x:c>
      <x:c r="F7" s="21" t="str">
        <x:v>target rate plus terminal-source command</x:v>
      </x:c>
      <x:c r="G7" s="21" t="str">
        <x:v>SF-800</x:v>
      </x:c>
      <x:c r="H7" s="21" t="str">
        <x:v>OPEN</x:v>
      </x:c>
      <x:c r="I7" s="21" t="str"/>
      <x:c r="J7" s="21" t="str"/>
    </x:row>
    <x:row r="8">
      <x:c r="A8" s="21" t="str">
        <x:v>RFP-A1-HX-4</x:v>
      </x:c>
      <x:c r="B8" s="21" t="str">
        <x:v>RFP-A1</x:v>
      </x:c>
      <x:c r="C8" s="21" t="str">
        <x:v>PTC-A</x:v>
      </x:c>
      <x:c r="D8" s="21" t="str">
        <x:v>HX-4</x:v>
      </x:c>
      <x:c r="E8" s="21" t="str">
        <x:v>receiver recovery</x:v>
      </x:c>
      <x:c r="F8" s="21" t="str">
        <x:v>complete transfer, drain and new baseline</x:v>
      </x:c>
      <x:c r="G8" s="21" t="str">
        <x:v>SF-800</x:v>
      </x:c>
      <x:c r="H8" s="21" t="str">
        <x:v>OPEN</x:v>
      </x:c>
      <x:c r="I8" s="21" t="str"/>
      <x:c r="J8" s="21" t="str"/>
    </x:row>
    <x:row r="9">
      <x:c r="A9" s="21" t="str">
        <x:v>RFP-A2-HX-1</x:v>
      </x:c>
      <x:c r="B9" s="21" t="str">
        <x:v>RFP-A2</x:v>
      </x:c>
      <x:c r="C9" s="21" t="str">
        <x:v>PTC-A</x:v>
      </x:c>
      <x:c r="D9" s="21" t="str">
        <x:v>HX-1</x:v>
      </x:c>
      <x:c r="E9" s="21" t="str">
        <x:v>target rate</x:v>
      </x:c>
      <x:c r="F9" s="21" t="str">
        <x:v>2.0833 kg/s transfer</x:v>
      </x:c>
      <x:c r="G9" s="21" t="str">
        <x:v>SF-800</x:v>
      </x:c>
      <x:c r="H9" s="21" t="str">
        <x:v>OPEN</x:v>
      </x:c>
      <x:c r="I9" s="21" t="str"/>
      <x:c r="J9" s="21" t="str"/>
    </x:row>
    <x:row r="10">
      <x:c r="A10" s="21" t="str">
        <x:v>RFP-A2-HX-2</x:v>
      </x:c>
      <x:c r="B10" s="21" t="str">
        <x:v>RFP-A2</x:v>
      </x:c>
      <x:c r="C10" s="21" t="str">
        <x:v>PTC-A</x:v>
      </x:c>
      <x:c r="D10" s="21" t="str">
        <x:v>HX-2</x:v>
      </x:c>
      <x:c r="E10" s="21" t="str">
        <x:v>110% bracket</x:v>
      </x:c>
      <x:c r="F10" s="21" t="str">
        <x:v>2.2917 kg/s transfer</x:v>
      </x:c>
      <x:c r="G10" s="21" t="str">
        <x:v>SF-800</x:v>
      </x:c>
      <x:c r="H10" s="21" t="str">
        <x:v>OPEN</x:v>
      </x:c>
      <x:c r="I10" s="21" t="str"/>
      <x:c r="J10" s="21" t="str"/>
    </x:row>
    <x:row r="11">
      <x:c r="A11" s="21" t="str">
        <x:v>RFP-A2-HX-3</x:v>
      </x:c>
      <x:c r="B11" s="21" t="str">
        <x:v>RFP-A2</x:v>
      </x:c>
      <x:c r="C11" s="21" t="str">
        <x:v>PTC-A</x:v>
      </x:c>
      <x:c r="D11" s="21" t="str">
        <x:v>HX-3</x:v>
      </x:c>
      <x:c r="E11" s="21" t="str">
        <x:v>registered closure</x:v>
      </x:c>
      <x:c r="F11" s="21" t="str">
        <x:v>target rate plus terminal-source command</x:v>
      </x:c>
      <x:c r="G11" s="21" t="str">
        <x:v>SF-800</x:v>
      </x:c>
      <x:c r="H11" s="21" t="str">
        <x:v>OPEN</x:v>
      </x:c>
      <x:c r="I11" s="21" t="str"/>
      <x:c r="J11" s="21" t="str"/>
    </x:row>
    <x:row r="12">
      <x:c r="A12" s="21" t="str">
        <x:v>RFP-A2-HX-4</x:v>
      </x:c>
      <x:c r="B12" s="21" t="str">
        <x:v>RFP-A2</x:v>
      </x:c>
      <x:c r="C12" s="21" t="str">
        <x:v>PTC-A</x:v>
      </x:c>
      <x:c r="D12" s="21" t="str">
        <x:v>HX-4</x:v>
      </x:c>
      <x:c r="E12" s="21" t="str">
        <x:v>receiver recovery</x:v>
      </x:c>
      <x:c r="F12" s="21" t="str">
        <x:v>complete transfer, drain and new baseline</x:v>
      </x:c>
      <x:c r="G12" s="21" t="str">
        <x:v>SF-800</x:v>
      </x:c>
      <x:c r="H12" s="21" t="str">
        <x:v>OPEN</x:v>
      </x:c>
      <x:c r="I12" s="21" t="str"/>
      <x:c r="J12" s="21" t="str"/>
    </x:row>
    <x:row r="13">
      <x:c r="A13" s="21" t="str">
        <x:v>RFP-B1-HX-1</x:v>
      </x:c>
      <x:c r="B13" s="21" t="str">
        <x:v>RFP-B1</x:v>
      </x:c>
      <x:c r="C13" s="21" t="str">
        <x:v>PTC-B</x:v>
      </x:c>
      <x:c r="D13" s="21" t="str">
        <x:v>HX-1</x:v>
      </x:c>
      <x:c r="E13" s="21" t="str">
        <x:v>target rate</x:v>
      </x:c>
      <x:c r="F13" s="21" t="str">
        <x:v>2.0833 kg/s transfer</x:v>
      </x:c>
      <x:c r="G13" s="21" t="str">
        <x:v>SF-800</x:v>
      </x:c>
      <x:c r="H13" s="21" t="str">
        <x:v>OPEN</x:v>
      </x:c>
      <x:c r="I13" s="21" t="str"/>
      <x:c r="J13" s="21" t="str"/>
    </x:row>
    <x:row r="14">
      <x:c r="A14" s="21" t="str">
        <x:v>RFP-B1-HX-2</x:v>
      </x:c>
      <x:c r="B14" s="21" t="str">
        <x:v>RFP-B1</x:v>
      </x:c>
      <x:c r="C14" s="21" t="str">
        <x:v>PTC-B</x:v>
      </x:c>
      <x:c r="D14" s="21" t="str">
        <x:v>HX-2</x:v>
      </x:c>
      <x:c r="E14" s="21" t="str">
        <x:v>110% bracket</x:v>
      </x:c>
      <x:c r="F14" s="21" t="str">
        <x:v>2.2917 kg/s transfer</x:v>
      </x:c>
      <x:c r="G14" s="21" t="str">
        <x:v>SF-800</x:v>
      </x:c>
      <x:c r="H14" s="21" t="str">
        <x:v>OPEN</x:v>
      </x:c>
      <x:c r="I14" s="21" t="str"/>
      <x:c r="J14" s="21" t="str"/>
    </x:row>
    <x:row r="15">
      <x:c r="A15" s="21" t="str">
        <x:v>RFP-B1-HX-3</x:v>
      </x:c>
      <x:c r="B15" s="21" t="str">
        <x:v>RFP-B1</x:v>
      </x:c>
      <x:c r="C15" s="21" t="str">
        <x:v>PTC-B</x:v>
      </x:c>
      <x:c r="D15" s="21" t="str">
        <x:v>HX-3</x:v>
      </x:c>
      <x:c r="E15" s="21" t="str">
        <x:v>registered closure</x:v>
      </x:c>
      <x:c r="F15" s="21" t="str">
        <x:v>target rate plus terminal-source command</x:v>
      </x:c>
      <x:c r="G15" s="21" t="str">
        <x:v>SF-800</x:v>
      </x:c>
      <x:c r="H15" s="21" t="str">
        <x:v>OPEN</x:v>
      </x:c>
      <x:c r="I15" s="21" t="str"/>
      <x:c r="J15" s="21" t="str"/>
    </x:row>
    <x:row r="16">
      <x:c r="A16" s="21" t="str">
        <x:v>RFP-B1-HX-4</x:v>
      </x:c>
      <x:c r="B16" s="21" t="str">
        <x:v>RFP-B1</x:v>
      </x:c>
      <x:c r="C16" s="21" t="str">
        <x:v>PTC-B</x:v>
      </x:c>
      <x:c r="D16" s="21" t="str">
        <x:v>HX-4</x:v>
      </x:c>
      <x:c r="E16" s="21" t="str">
        <x:v>receiver recovery</x:v>
      </x:c>
      <x:c r="F16" s="21" t="str">
        <x:v>complete transfer, drain and new baseline</x:v>
      </x:c>
      <x:c r="G16" s="21" t="str">
        <x:v>SF-800</x:v>
      </x:c>
      <x:c r="H16" s="21" t="str">
        <x:v>OPEN</x:v>
      </x:c>
      <x:c r="I16" s="21" t="str"/>
      <x:c r="J16" s="21" t="str"/>
    </x:row>
    <x:row r="17">
      <x:c r="A17" s="21" t="str">
        <x:v>RFP-B2-HX-1</x:v>
      </x:c>
      <x:c r="B17" s="21" t="str">
        <x:v>RFP-B2</x:v>
      </x:c>
      <x:c r="C17" s="21" t="str">
        <x:v>PTC-B</x:v>
      </x:c>
      <x:c r="D17" s="21" t="str">
        <x:v>HX-1</x:v>
      </x:c>
      <x:c r="E17" s="21" t="str">
        <x:v>target rate</x:v>
      </x:c>
      <x:c r="F17" s="21" t="str">
        <x:v>2.0833 kg/s transfer</x:v>
      </x:c>
      <x:c r="G17" s="21" t="str">
        <x:v>SF-800</x:v>
      </x:c>
      <x:c r="H17" s="21" t="str">
        <x:v>OPEN</x:v>
      </x:c>
      <x:c r="I17" s="21" t="str"/>
      <x:c r="J17" s="21" t="str"/>
    </x:row>
    <x:row r="18">
      <x:c r="A18" s="21" t="str">
        <x:v>RFP-B2-HX-2</x:v>
      </x:c>
      <x:c r="B18" s="21" t="str">
        <x:v>RFP-B2</x:v>
      </x:c>
      <x:c r="C18" s="21" t="str">
        <x:v>PTC-B</x:v>
      </x:c>
      <x:c r="D18" s="21" t="str">
        <x:v>HX-2</x:v>
      </x:c>
      <x:c r="E18" s="21" t="str">
        <x:v>110% bracket</x:v>
      </x:c>
      <x:c r="F18" s="21" t="str">
        <x:v>2.2917 kg/s transfer</x:v>
      </x:c>
      <x:c r="G18" s="21" t="str">
        <x:v>SF-800</x:v>
      </x:c>
      <x:c r="H18" s="21" t="str">
        <x:v>OPEN</x:v>
      </x:c>
      <x:c r="I18" s="21" t="str"/>
      <x:c r="J18" s="21" t="str"/>
    </x:row>
    <x:row r="19">
      <x:c r="A19" s="21" t="str">
        <x:v>RFP-B2-HX-3</x:v>
      </x:c>
      <x:c r="B19" s="21" t="str">
        <x:v>RFP-B2</x:v>
      </x:c>
      <x:c r="C19" s="21" t="str">
        <x:v>PTC-B</x:v>
      </x:c>
      <x:c r="D19" s="21" t="str">
        <x:v>HX-3</x:v>
      </x:c>
      <x:c r="E19" s="21" t="str">
        <x:v>registered closure</x:v>
      </x:c>
      <x:c r="F19" s="21" t="str">
        <x:v>target rate plus terminal-source command</x:v>
      </x:c>
      <x:c r="G19" s="21" t="str">
        <x:v>SF-800</x:v>
      </x:c>
      <x:c r="H19" s="21" t="str">
        <x:v>OPEN</x:v>
      </x:c>
      <x:c r="I19" s="21" t="str"/>
      <x:c r="J19" s="21" t="str"/>
    </x:row>
    <x:row r="20">
      <x:c r="A20" s="21" t="str">
        <x:v>RFP-B2-HX-4</x:v>
      </x:c>
      <x:c r="B20" s="21" t="str">
        <x:v>RFP-B2</x:v>
      </x:c>
      <x:c r="C20" s="21" t="str">
        <x:v>PTC-B</x:v>
      </x:c>
      <x:c r="D20" s="21" t="str">
        <x:v>HX-4</x:v>
      </x:c>
      <x:c r="E20" s="21" t="str">
        <x:v>receiver recovery</x:v>
      </x:c>
      <x:c r="F20" s="21" t="str">
        <x:v>complete transfer, drain and new baseline</x:v>
      </x:c>
      <x:c r="G20" s="21" t="str">
        <x:v>SF-800</x:v>
      </x:c>
      <x:c r="H20" s="21" t="str">
        <x:v>OPEN</x:v>
      </x:c>
      <x:c r="I20" s="21" t="str"/>
      <x:c r="J20" s="21" t="str"/>
    </x:row>
    <x:row r="21">
      <x:c r="A21" s="21" t="str">
        <x:v>RFP-C1-HX-1</x:v>
      </x:c>
      <x:c r="B21" s="21" t="str">
        <x:v>RFP-C1</x:v>
      </x:c>
      <x:c r="C21" s="21" t="str">
        <x:v>PTC-C</x:v>
      </x:c>
      <x:c r="D21" s="21" t="str">
        <x:v>HX-1</x:v>
      </x:c>
      <x:c r="E21" s="21" t="str">
        <x:v>target rate</x:v>
      </x:c>
      <x:c r="F21" s="21" t="str">
        <x:v>2.0833 kg/s transfer</x:v>
      </x:c>
      <x:c r="G21" s="21" t="str">
        <x:v>SF-800</x:v>
      </x:c>
      <x:c r="H21" s="21" t="str">
        <x:v>OPEN</x:v>
      </x:c>
      <x:c r="I21" s="21" t="str"/>
      <x:c r="J21" s="21" t="str"/>
    </x:row>
    <x:row r="22">
      <x:c r="A22" s="21" t="str">
        <x:v>RFP-C1-HX-2</x:v>
      </x:c>
      <x:c r="B22" s="21" t="str">
        <x:v>RFP-C1</x:v>
      </x:c>
      <x:c r="C22" s="21" t="str">
        <x:v>PTC-C</x:v>
      </x:c>
      <x:c r="D22" s="21" t="str">
        <x:v>HX-2</x:v>
      </x:c>
      <x:c r="E22" s="21" t="str">
        <x:v>110% bracket</x:v>
      </x:c>
      <x:c r="F22" s="21" t="str">
        <x:v>2.2917 kg/s transfer</x:v>
      </x:c>
      <x:c r="G22" s="21" t="str">
        <x:v>SF-800</x:v>
      </x:c>
      <x:c r="H22" s="21" t="str">
        <x:v>OPEN</x:v>
      </x:c>
      <x:c r="I22" s="21" t="str"/>
      <x:c r="J22" s="21" t="str"/>
    </x:row>
    <x:row r="23">
      <x:c r="A23" s="21" t="str">
        <x:v>RFP-C1-HX-3</x:v>
      </x:c>
      <x:c r="B23" s="21" t="str">
        <x:v>RFP-C1</x:v>
      </x:c>
      <x:c r="C23" s="21" t="str">
        <x:v>PTC-C</x:v>
      </x:c>
      <x:c r="D23" s="21" t="str">
        <x:v>HX-3</x:v>
      </x:c>
      <x:c r="E23" s="21" t="str">
        <x:v>registered closure</x:v>
      </x:c>
      <x:c r="F23" s="21" t="str">
        <x:v>target rate plus terminal-source command</x:v>
      </x:c>
      <x:c r="G23" s="21" t="str">
        <x:v>SF-800</x:v>
      </x:c>
      <x:c r="H23" s="21" t="str">
        <x:v>OPEN</x:v>
      </x:c>
      <x:c r="I23" s="21" t="str"/>
      <x:c r="J23" s="21" t="str"/>
    </x:row>
    <x:row r="24">
      <x:c r="A24" s="21" t="str">
        <x:v>RFP-C1-HX-4</x:v>
      </x:c>
      <x:c r="B24" s="21" t="str">
        <x:v>RFP-C1</x:v>
      </x:c>
      <x:c r="C24" s="21" t="str">
        <x:v>PTC-C</x:v>
      </x:c>
      <x:c r="D24" s="21" t="str">
        <x:v>HX-4</x:v>
      </x:c>
      <x:c r="E24" s="21" t="str">
        <x:v>receiver recovery</x:v>
      </x:c>
      <x:c r="F24" s="21" t="str">
        <x:v>complete transfer, drain and new baseline</x:v>
      </x:c>
      <x:c r="G24" s="21" t="str">
        <x:v>SF-800</x:v>
      </x:c>
      <x:c r="H24" s="21" t="str">
        <x:v>OPEN</x:v>
      </x:c>
      <x:c r="I24" s="21" t="str"/>
      <x:c r="J24" s="21" t="str"/>
    </x:row>
    <x:row r="25">
      <x:c r="A25" s="21" t="str">
        <x:v>RFP-C2-HX-1</x:v>
      </x:c>
      <x:c r="B25" s="21" t="str">
        <x:v>RFP-C2</x:v>
      </x:c>
      <x:c r="C25" s="21" t="str">
        <x:v>PTC-C</x:v>
      </x:c>
      <x:c r="D25" s="21" t="str">
        <x:v>HX-1</x:v>
      </x:c>
      <x:c r="E25" s="21" t="str">
        <x:v>target rate</x:v>
      </x:c>
      <x:c r="F25" s="21" t="str">
        <x:v>2.0833 kg/s transfer</x:v>
      </x:c>
      <x:c r="G25" s="21" t="str">
        <x:v>SF-800</x:v>
      </x:c>
      <x:c r="H25" s="21" t="str">
        <x:v>OPEN</x:v>
      </x:c>
      <x:c r="I25" s="21" t="str"/>
      <x:c r="J25" s="21" t="str"/>
    </x:row>
    <x:row r="26">
      <x:c r="A26" s="21" t="str">
        <x:v>RFP-C2-HX-2</x:v>
      </x:c>
      <x:c r="B26" s="21" t="str">
        <x:v>RFP-C2</x:v>
      </x:c>
      <x:c r="C26" s="21" t="str">
        <x:v>PTC-C</x:v>
      </x:c>
      <x:c r="D26" s="21" t="str">
        <x:v>HX-2</x:v>
      </x:c>
      <x:c r="E26" s="21" t="str">
        <x:v>110% bracket</x:v>
      </x:c>
      <x:c r="F26" s="21" t="str">
        <x:v>2.2917 kg/s transfer</x:v>
      </x:c>
      <x:c r="G26" s="21" t="str">
        <x:v>SF-800</x:v>
      </x:c>
      <x:c r="H26" s="21" t="str">
        <x:v>OPEN</x:v>
      </x:c>
      <x:c r="I26" s="21" t="str"/>
      <x:c r="J26" s="21" t="str"/>
    </x:row>
    <x:row r="27">
      <x:c r="A27" s="21" t="str">
        <x:v>RFP-C2-HX-3</x:v>
      </x:c>
      <x:c r="B27" s="21" t="str">
        <x:v>RFP-C2</x:v>
      </x:c>
      <x:c r="C27" s="21" t="str">
        <x:v>PTC-C</x:v>
      </x:c>
      <x:c r="D27" s="21" t="str">
        <x:v>HX-3</x:v>
      </x:c>
      <x:c r="E27" s="21" t="str">
        <x:v>registered closure</x:v>
      </x:c>
      <x:c r="F27" s="21" t="str">
        <x:v>target rate plus terminal-source command</x:v>
      </x:c>
      <x:c r="G27" s="21" t="str">
        <x:v>SF-800</x:v>
      </x:c>
      <x:c r="H27" s="21" t="str">
        <x:v>OPEN</x:v>
      </x:c>
      <x:c r="I27" s="21" t="str"/>
      <x:c r="J27" s="21" t="str"/>
    </x:row>
    <x:row r="28">
      <x:c r="A28" s="21" t="str">
        <x:v>RFP-C2-HX-4</x:v>
      </x:c>
      <x:c r="B28" s="21" t="str">
        <x:v>RFP-C2</x:v>
      </x:c>
      <x:c r="C28" s="21" t="str">
        <x:v>PTC-C</x:v>
      </x:c>
      <x:c r="D28" s="21" t="str">
        <x:v>HX-4</x:v>
      </x:c>
      <x:c r="E28" s="21" t="str">
        <x:v>receiver recovery</x:v>
      </x:c>
      <x:c r="F28" s="21" t="str">
        <x:v>complete transfer, drain and new baseline</x:v>
      </x:c>
      <x:c r="G28" s="21" t="str">
        <x:v>SF-800</x:v>
      </x:c>
      <x:c r="H28" s="21" t="str">
        <x:v>OPEN</x:v>
      </x:c>
      <x:c r="I28" s="21" t="str"/>
      <x:c r="J28" s="21" t="str"/>
    </x:row>
  </x:sheetData>
  <x:conditionalFormatting sqref="H5:H28">
    <x:cfRule type="containsText" dxfId="6" priority="1" operator="containsText" text="PASS"/>
    <x:cfRule type="containsText" dxfId="7" priority="2" operator="containsText" text="ACCEPTED"/>
    <x:cfRule type="containsText" dxfId="8" priority="3" operator="containsText" text="OPEN"/>
    <x:cfRule type="containsText" dxfId="9" priority="4" operator="containsText" text="BLOCKED"/>
    <x:cfRule type="containsText" dxfId="10" priority="5" operator="containsText" text="FAIL"/>
    <x:cfRule type="containsText" dxfId="11" priority="6" operator="containsText" text="STOP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65" hidden="0" customWidth="1"/>
    <x:col min="4" max="4" width="16" hidden="0" customWidth="1"/>
  </x:cols>
  <x:sheetData>
    <x:row r="1" ht="28" customHeight="1">
      <x:c r="A1" s="17" t="str">
        <x:v>Twelve REA-250 conversion objects</x:v>
      </x:c>
      <x:c r="B1" s="17"/>
      <x:c r="C1" s="17"/>
      <x:c r="D1" s="17"/>
    </x:row>
    <x:row r="2" ht="34" customHeight="1">
      <x:c r="A2" s="18" t="str">
        <x:v>The conversion changes only the capacity needed to state QE-03.</x:v>
      </x:c>
      <x:c r="B2" s="18"/>
      <x:c r="C2" s="18"/>
      <x:c r="D2" s="18"/>
    </x:row>
    <x:row r="3">
      <x:c r="A3" s="19"/>
      <x:c r="B3" s="19"/>
      <x:c r="C3" s="19"/>
      <x:c r="D3" s="19"/>
    </x:row>
    <x:row r="4">
      <x:c r="A4" s="20" t="str">
        <x:v>Object</x:v>
      </x:c>
      <x:c r="B4" s="20" t="str">
        <x:v>Physical object</x:v>
      </x:c>
      <x:c r="C4" s="20" t="str">
        <x:v>Required evidence</x:v>
      </x:c>
      <x:c r="D4" s="20" t="str">
        <x:v>State</x:v>
      </x:c>
    </x:row>
    <x:row r="5">
      <x:c r="A5" s="21" t="str">
        <x:v>CV-01</x:v>
      </x:c>
      <x:c r="B5" s="21" t="str">
        <x:v>QE-03 amendment baseline</x:v>
      </x:c>
      <x:c r="C5" s="21" t="str">
        <x:v>identity, revision and affected-object map</x:v>
      </x:c>
      <x:c r="D5" s="21" t="str">
        <x:v>OPEN</x:v>
      </x:c>
    </x:row>
    <x:row r="6">
      <x:c r="A6" s="21" t="str">
        <x:v>CV-02</x:v>
      </x:c>
      <x:c r="B6" s="21" t="str">
        <x:v>REA-250 conversion assembly</x:v>
      </x:c>
      <x:c r="C6" s="21" t="str">
        <x:v>serial, interface and installed state</x:v>
      </x:c>
      <x:c r="D6" s="21" t="str">
        <x:v>OPEN</x:v>
      </x:c>
    </x:row>
    <x:row r="7">
      <x:c r="A7" s="21" t="str">
        <x:v>CV-03</x:v>
      </x:c>
      <x:c r="B7" s="21" t="str">
        <x:v>capture quadrant 1</x:v>
      </x:c>
      <x:c r="C7" s="21" t="str">
        <x:v>area, grade, liner and leak boundary</x:v>
      </x:c>
      <x:c r="D7" s="21" t="str">
        <x:v>OPEN</x:v>
      </x:c>
    </x:row>
    <x:row r="8">
      <x:c r="A8" s="21" t="str">
        <x:v>CV-04</x:v>
      </x:c>
      <x:c r="B8" s="21" t="str">
        <x:v>capture quadrant 2</x:v>
      </x:c>
      <x:c r="C8" s="21" t="str">
        <x:v>area, grade, liner and leak boundary</x:v>
      </x:c>
      <x:c r="D8" s="21" t="str">
        <x:v>OPEN</x:v>
      </x:c>
    </x:row>
    <x:row r="9">
      <x:c r="A9" s="21" t="str">
        <x:v>CV-05</x:v>
      </x:c>
      <x:c r="B9" s="21" t="str">
        <x:v>capture quadrant 3</x:v>
      </x:c>
      <x:c r="C9" s="21" t="str">
        <x:v>area, grade, liner and leak boundary</x:v>
      </x:c>
      <x:c r="D9" s="21" t="str">
        <x:v>OPEN</x:v>
      </x:c>
    </x:row>
    <x:row r="10">
      <x:c r="A10" s="21" t="str">
        <x:v>CV-06</x:v>
      </x:c>
      <x:c r="B10" s="21" t="str">
        <x:v>capture quadrant 4</x:v>
      </x:c>
      <x:c r="C10" s="21" t="str">
        <x:v>area, grade, liner and leak boundary</x:v>
      </x:c>
      <x:c r="D10" s="21" t="str">
        <x:v>OPEN</x:v>
      </x:c>
    </x:row>
    <x:row r="11">
      <x:c r="A11" s="21" t="str">
        <x:v>CV-07</x:v>
      </x:c>
      <x:c r="B11" s="21" t="str">
        <x:v>independent area and grade survey</x:v>
      </x:c>
      <x:c r="C11" s="21" t="str">
        <x:v>two unlike survey roots</x:v>
      </x:c>
      <x:c r="D11" s="21" t="str">
        <x:v>OPEN</x:v>
      </x:c>
    </x:row>
    <x:row r="12">
      <x:c r="A12" s="21" t="str">
        <x:v>CV-08</x:v>
      </x:c>
      <x:c r="B12" s="21" t="str">
        <x:v>low-density receiver decision</x:v>
      </x:c>
      <x:c r="C12" s="21" t="str">
        <x:v>usable volume less initial inventory and uncertainty</x:v>
      </x:c>
      <x:c r="D12" s="21" t="str">
        <x:v>OPEN</x:v>
      </x:c>
    </x:row>
    <x:row r="13">
      <x:c r="A13" s="21" t="str">
        <x:v>CV-09</x:v>
      </x:c>
      <x:c r="B13" s="21" t="str">
        <x:v>rate-extension packet</x:v>
      </x:c>
      <x:c r="C13" s="21" t="str">
        <x:v>four rig-specific trials</x:v>
      </x:c>
      <x:c r="D13" s="21" t="str">
        <x:v>OPEN</x:v>
      </x:c>
    </x:row>
    <x:row r="14">
      <x:c r="A14" s="21" t="str">
        <x:v>CV-10</x:v>
      </x:c>
      <x:c r="B14" s="21" t="str">
        <x:v>surge-margin decision</x:v>
      </x:c>
      <x:c r="C14" s="21" t="str">
        <x:v>measured transient below accepted boundary</x:v>
      </x:c>
      <x:c r="D14" s="21" t="str">
        <x:v>OPEN</x:v>
      </x:c>
    </x:row>
    <x:row r="15">
      <x:c r="A15" s="21" t="str">
        <x:v>CV-11</x:v>
      </x:c>
      <x:c r="B15" s="21" t="str">
        <x:v>dynamic hold-up map</x:v>
      </x:c>
      <x:c r="C15" s="21" t="str">
        <x:v>route inventory through event clock</x:v>
      </x:c>
      <x:c r="D15" s="21" t="str">
        <x:v>OPEN</x:v>
      </x:c>
    </x:row>
    <x:row r="16">
      <x:c r="A16" s="21" t="str">
        <x:v>CV-12</x:v>
      </x:c>
      <x:c r="B16" s="21" t="str">
        <x:v>recovery-capacity decision</x:v>
      </x:c>
      <x:c r="C16" s="21" t="str">
        <x:v>source destinations and new baseline</x:v>
      </x:c>
      <x:c r="D16" s="21" t="str">
        <x:v>OPEN</x:v>
      </x:c>
    </x:row>
  </x:sheetData>
  <x:conditionalFormatting sqref="D5:D16">
    <x:cfRule type="containsText" dxfId="12" priority="1" operator="containsText" text="PASS"/>
    <x:cfRule type="containsText" dxfId="13" priority="2" operator="containsText" text="ACCEPTED"/>
    <x:cfRule type="containsText" dxfId="14" priority="3" operator="containsText" text="OPEN"/>
    <x:cfRule type="containsText" dxfId="15" priority="4" operator="containsText" text="BLOCKED"/>
    <x:cfRule type="containsText" dxfId="16" priority="5" operator="containsText" text="FAIL"/>
    <x:cfRule type="containsText" dxfId="17" priority="6" operator="containsText" text="STOP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1" hidden="0" customWidth="1"/>
    <x:col min="3" max="3" width="18" hidden="0" customWidth="1"/>
    <x:col min="4" max="4" width="21" hidden="0" customWidth="1"/>
    <x:col min="5" max="5" width="22" hidden="0" customWidth="1"/>
    <x:col min="6" max="6" width="22" hidden="0" customWidth="1"/>
    <x:col min="7" max="7" width="17" hidden="0" customWidth="1"/>
    <x:col min="8" max="8" width="56" hidden="0" customWidth="1"/>
  </x:cols>
  <x:sheetData>
    <x:row r="1" ht="28" customHeight="1">
      <x:c r="A1" s="17" t="str">
        <x:v>QE-03 reserve alternatives</x:v>
      </x:c>
      <x:c r="B1" s="17"/>
      <x:c r="C1" s="17"/>
      <x:c r="D1" s="17"/>
      <x:c r="E1" s="17"/>
      <x:c r="F1" s="17"/>
      <x:c r="G1" s="17"/>
      <x:c r="H1" s="17"/>
    </x:row>
    <x:row r="2" ht="34" customHeight="1">
      <x:c r="A2" s="18" t="str">
        <x:v>Conditional class completion after one accepted seed. Two root families remain physically distinct.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Alternative</x:v>
      </x:c>
      <x:c r="B4" s="20" t="str">
        <x:v>Reserves per family</x:v>
      </x:c>
      <x:c r="C4" s="20" t="str">
        <x:v>Total packages</x:v>
      </x:c>
      <x:c r="D4" s="20" t="str">
        <x:v>Maximum attempts</x:v>
      </x:c>
      <x:c r="E4" s="20" t="str">
        <x:v>Completion p=0.70</x:v>
      </x:c>
      <x:c r="F4" s="20" t="str">
        <x:v>Completion p=0.80</x:v>
      </x:c>
      <x:c r="G4" s="20" t="str">
        <x:v>Decision</x:v>
      </x:c>
      <x:c r="H4" s="20" t="str">
        <x:v>Reason</x:v>
      </x:c>
    </x:row>
    <x:row r="5">
      <x:c r="A5" s="21" t="str">
        <x:v>1 reserve per root family</x:v>
      </x:c>
      <x:c r="B5" s="21" t="n">
        <x:v>1</x:v>
      </x:c>
      <x:c r="C5" s="21" t="n">
        <x:v>16</x:v>
      </x:c>
      <x:c r="D5" s="21" t="n">
        <x:v>14</x:v>
      </x:c>
      <x:c r="E5" s="23" t="n">
        <x:f>(Controls!B75^5*(1*(1-Controls!B75)^0+5*(1-Controls!B75)^1))*(Controls!B75^6*(1*(1-Controls!B75)^0+6*(1-Controls!B75)^1))</x:f>
        <x:v>0.1384128720099999</x:v>
      </x:c>
      <x:c r="F5" s="23" t="n">
        <x:f>(Controls!B76^5*(1*(1-Controls!B76)^0+5*(1-Controls!B76)^1))*(Controls!B76^6*(1*(1-Controls!B76)^0+6*(1-Controls!B76)^1))</x:f>
        <x:v>0.37795712204800014</x:v>
      </x:c>
      <x:c r="G5" s="21" t="str">
        <x:v>REJECT</x:v>
      </x:c>
      <x:c r="H5" s="21" t="str">
        <x:v>below declared floor requirement</x:v>
      </x:c>
    </x:row>
    <x:row r="6">
      <x:c r="A6" s="21" t="str">
        <x:v>2 reserves per root family</x:v>
      </x:c>
      <x:c r="B6" s="21" t="n">
        <x:v>2</x:v>
      </x:c>
      <x:c r="C6" s="21" t="n">
        <x:v>18</x:v>
      </x:c>
      <x:c r="D6" s="21" t="n">
        <x:v>16</x:v>
      </x:c>
      <x:c r="E6" s="23" t="n">
        <x:f>(Controls!B75^5*(1*(1-Controls!B75)^0+5*(1-Controls!B75)^1+15*(1-Controls!B75)^2))*(Controls!B75^6*(1*(1-Controls!B75)^0+6*(1-Controls!B75)^1+21*(1-Controls!B75)^2))</x:f>
        <x:v>0.35703600334979485</x:v>
      </x:c>
      <x:c r="F6" s="23" t="n">
        <x:f>(Controls!B76^5*(1*(1-Controls!B76)^0+5*(1-Controls!B76)^1+15*(1-Controls!B76)^2))*(Controls!B76^6*(1*(1-Controls!B76)^0+6*(1-Controls!B76)^1+21*(1-Controls!B76)^2))</x:f>
        <x:v>0.67894843015168</x:v>
      </x:c>
      <x:c r="G6" s="21" t="str">
        <x:v>REJECT</x:v>
      </x:c>
      <x:c r="H6" s="21" t="str">
        <x:v>below declared floor requirement</x:v>
      </x:c>
    </x:row>
    <x:row r="7">
      <x:c r="A7" s="21" t="str">
        <x:v>3 reserves per root family</x:v>
      </x:c>
      <x:c r="B7" s="21" t="n">
        <x:v>3</x:v>
      </x:c>
      <x:c r="C7" s="21" t="n">
        <x:v>20</x:v>
      </x:c>
      <x:c r="D7" s="21" t="n">
        <x:v>18</x:v>
      </x:c>
      <x:c r="E7" s="23" t="n">
        <x:f>(Controls!B75^5*(1*(1-Controls!B75)^0+5*(1-Controls!B75)^1+15*(1-Controls!B75)^2+35*(1-Controls!B75)^3))*(Controls!B75^6*(1*(1-Controls!B75)^0+6*(1-Controls!B75)^1+21*(1-Controls!B75)^2+56*(1-Controls!B75)^3))</x:f>
        <x:v>0.5880290930611235</x:v>
      </x:c>
      <x:c r="F7" s="23" t="n">
        <x:f>(Controls!B76^5*(1*(1-Controls!B76)^0+5*(1-Controls!B76)^1+15*(1-Controls!B76)^2+35*(1-Controls!B76)^3))*(Controls!B76^6*(1*(1-Controls!B76)^0+6*(1-Controls!B76)^1+21*(1-Controls!B76)^2+56*(1-Controls!B76)^3))</x:f>
        <x:v>0.8628967254786049</x:v>
      </x:c>
      <x:c r="G7" s="21" t="str">
        <x:v>REJECT</x:v>
      </x:c>
      <x:c r="H7" s="21" t="str">
        <x:v>below declared floor requirement</x:v>
      </x:c>
    </x:row>
    <x:row r="8">
      <x:c r="A8" s="21" t="str">
        <x:v>4 reserves per root family</x:v>
      </x:c>
      <x:c r="B8" s="21" t="n">
        <x:v>4</x:v>
      </x:c>
      <x:c r="C8" s="21" t="n">
        <x:v>22</x:v>
      </x:c>
      <x:c r="D8" s="21" t="n">
        <x:v>20</x:v>
      </x:c>
      <x:c r="E8" s="23" t="n">
        <x:f>(Controls!B75^5*(1*(1-Controls!B75)^0+5*(1-Controls!B75)^1+15*(1-Controls!B75)^2+35*(1-Controls!B75)^3+70*(1-Controls!B75)^4))*(Controls!B75^6*(1*(1-Controls!B75)^0+6*(1-Controls!B75)^1+21*(1-Controls!B75)^2+56*(1-Controls!B75)^3+126*(1-Controls!B75)^4))</x:f>
        <x:v>0.7657708199846401</x:v>
      </x:c>
      <x:c r="F8" s="23" t="n">
        <x:f>(Controls!B76^5*(1*(1-Controls!B76)^0+5*(1-Controls!B76)^1+15*(1-Controls!B76)^2+35*(1-Controls!B76)^3+70*(1-Controls!B76)^4))*(Controls!B76^6*(1*(1-Controls!B76)^0+6*(1-Controls!B76)^1+21*(1-Controls!B76)^2+56*(1-Controls!B76)^3+126*(1-Controls!B76)^4))</x:f>
        <x:v>0.9482672063056446</x:v>
      </x:c>
      <x:c r="G8" s="21" t="str">
        <x:v>REJECT</x:v>
      </x:c>
      <x:c r="H8" s="21" t="str">
        <x:v>below declared floor requirement</x:v>
      </x:c>
    </x:row>
    <x:row r="9">
      <x:c r="A9" s="21" t="str">
        <x:v>5 reserves per root family</x:v>
      </x:c>
      <x:c r="B9" s="21" t="n">
        <x:v>5</x:v>
      </x:c>
      <x:c r="C9" s="21" t="n">
        <x:v>24</x:v>
      </x:c>
      <x:c r="D9" s="21" t="n">
        <x:v>22</x:v>
      </x:c>
      <x:c r="E9" s="23" t="n">
        <x:f>(Controls!B75^5*(1*(1-Controls!B75)^0+5*(1-Controls!B75)^1+15*(1-Controls!B75)^2+35*(1-Controls!B75)^3+70*(1-Controls!B75)^4+126*(1-Controls!B75)^5))*(Controls!B75^6*(1*(1-Controls!B75)^0+6*(1-Controls!B75)^1+21*(1-Controls!B75)^2+56*(1-Controls!B75)^3+126*(1-Controls!B75)^4+252*(1-Controls!B75)^5))</x:f>
        <x:v>0.8781300862815326</x:v>
      </x:c>
      <x:c r="F9" s="23" t="n">
        <x:f>(Controls!B76^5*(1*(1-Controls!B76)^0+5*(1-Controls!B76)^1+15*(1-Controls!B76)^2+35*(1-Controls!B76)^3+70*(1-Controls!B76)^4+126*(1-Controls!B76)^5))*(Controls!B76^6*(1*(1-Controls!B76)^0+6*(1-Controls!B76)^1+21*(1-Controls!B76)^2+56*(1-Controls!B76)^3+126*(1-Controls!B76)^4+252*(1-Controls!B76)^5))</x:f>
        <x:v>0.9820506422510155</x:v>
      </x:c>
      <x:c r="G9" s="21" t="str">
        <x:v>REJECT</x:v>
      </x:c>
      <x:c r="H9" s="21" t="str">
        <x:v>below declared floor requirement</x:v>
      </x:c>
    </x:row>
    <x:row r="10">
      <x:c r="A10" s="21" t="str">
        <x:v>6 reserves per root family</x:v>
      </x:c>
      <x:c r="B10" s="21" t="n">
        <x:v>6</x:v>
      </x:c>
      <x:c r="C10" s="21" t="n">
        <x:v>26</x:v>
      </x:c>
      <x:c r="D10" s="21" t="n">
        <x:v>24</x:v>
      </x:c>
      <x:c r="E10" s="23" t="n">
        <x:f>(Controls!B75^5*(1*(1-Controls!B75)^0+5*(1-Controls!B75)^1+15*(1-Controls!B75)^2+35*(1-Controls!B75)^3+70*(1-Controls!B75)^4+126*(1-Controls!B75)^5+210*(1-Controls!B75)^6))*(Controls!B75^6*(1*(1-Controls!B75)^0+6*(1-Controls!B75)^1+21*(1-Controls!B75)^2+56*(1-Controls!B75)^3+126*(1-Controls!B75)^4+252*(1-Controls!B75)^5+462*(1-Controls!B75)^6))</x:f>
        <x:v>0.9406145233006582</x:v>
      </x:c>
      <x:c r="F10" s="23" t="n">
        <x:f>(Controls!B76^5*(1*(1-Controls!B76)^0+5*(1-Controls!B76)^1+15*(1-Controls!B76)^2+35*(1-Controls!B76)^3+70*(1-Controls!B76)^4+126*(1-Controls!B76)^5+210*(1-Controls!B76)^6))*(Controls!B76^6*(1*(1-Controls!B76)^0+6*(1-Controls!B76)^1+21*(1-Controls!B76)^2+56*(1-Controls!B76)^3+126*(1-Controls!B76)^4+252*(1-Controls!B76)^5+462*(1-Controls!B76)^6))</x:f>
        <x:v>0.9941391762233058</x:v>
      </x:c>
      <x:c r="G10" s="21" t="str">
        <x:v>REJECT</x:v>
      </x:c>
      <x:c r="H10" s="21" t="str">
        <x:v>below declared floor requirement</x:v>
      </x:c>
    </x:row>
    <x:row r="11">
      <x:c r="A11" s="21" t="str">
        <x:v>7 reserves per root family</x:v>
      </x:c>
      <x:c r="B11" s="21" t="n">
        <x:v>7</x:v>
      </x:c>
      <x:c r="C11" s="21" t="n">
        <x:v>28</x:v>
      </x:c>
      <x:c r="D11" s="21" t="n">
        <x:v>26</x:v>
      </x:c>
      <x:c r="E11" s="23" t="n">
        <x:f>(Controls!B75^5*(1*(1-Controls!B75)^0+5*(1-Controls!B75)^1+15*(1-Controls!B75)^2+35*(1-Controls!B75)^3+70*(1-Controls!B75)^4+126*(1-Controls!B75)^5+210*(1-Controls!B75)^6+330*(1-Controls!B75)^7))*(Controls!B75^6*(1*(1-Controls!B75)^0+6*(1-Controls!B75)^1+21*(1-Controls!B75)^2+56*(1-Controls!B75)^3+126*(1-Controls!B75)^4+252*(1-Controls!B75)^5+462*(1-Controls!B75)^6+792*(1-Controls!B75)^7))</x:f>
        <x:v>0.9724607391944224</x:v>
      </x:c>
      <x:c r="F11" s="23" t="n">
        <x:f>(Controls!B76^5*(1*(1-Controls!B76)^0+5*(1-Controls!B76)^1+15*(1-Controls!B76)^2+35*(1-Controls!B76)^3+70*(1-Controls!B76)^4+126*(1-Controls!B76)^5+210*(1-Controls!B76)^6+330*(1-Controls!B76)^7))*(Controls!B76^6*(1*(1-Controls!B76)^0+6*(1-Controls!B76)^1+21*(1-Controls!B76)^2+56*(1-Controls!B76)^3+126*(1-Controls!B76)^4+252*(1-Controls!B76)^5+462*(1-Controls!B76)^6+792*(1-Controls!B76)^7))</x:f>
        <x:v>0.9981738604945245</x:v>
      </x:c>
      <x:c r="G11" s="21" t="str">
        <x:v>SELECT</x:v>
      </x:c>
      <x:c r="H11" s="21" t="str">
        <x:v>smallest option above 0.95 at p=0.70</x:v>
      </x:c>
    </x:row>
    <x:row r="12">
      <x:c r="A12" s="21" t="str">
        <x:v>8 reserves per root family</x:v>
      </x:c>
      <x:c r="B12" s="21" t="n">
        <x:v>8</x:v>
      </x:c>
      <x:c r="C12" s="21" t="n">
        <x:v>30</x:v>
      </x:c>
      <x:c r="D12" s="21" t="n">
        <x:v>28</x:v>
      </x:c>
      <x:c r="E12" s="23" t="n">
        <x:f>(Controls!B75^5*(1*(1-Controls!B75)^0+5*(1-Controls!B75)^1+15*(1-Controls!B75)^2+35*(1-Controls!B75)^3+70*(1-Controls!B75)^4+126*(1-Controls!B75)^5+210*(1-Controls!B75)^6+330*(1-Controls!B75)^7+495*(1-Controls!B75)^8))*(Controls!B75^6*(1*(1-Controls!B75)^0+6*(1-Controls!B75)^1+21*(1-Controls!B75)^2+56*(1-Controls!B75)^3+126*(1-Controls!B75)^4+252*(1-Controls!B75)^5+462*(1-Controls!B75)^6+792*(1-Controls!B75)^7+1287*(1-Controls!B75)^8))</x:f>
        <x:v>0.9877139177319259</x:v>
      </x:c>
      <x:c r="F12" s="23" t="n">
        <x:f>(Controls!B76^5*(1*(1-Controls!B76)^0+5*(1-Controls!B76)^1+15*(1-Controls!B76)^2+35*(1-Controls!B76)^3+70*(1-Controls!B76)^4+126*(1-Controls!B76)^5+210*(1-Controls!B76)^6+330*(1-Controls!B76)^7+495*(1-Controls!B76)^8))*(Controls!B76^6*(1*(1-Controls!B76)^0+6*(1-Controls!B76)^1+21*(1-Controls!B76)^2+56*(1-Controls!B76)^3+126*(1-Controls!B76)^4+252*(1-Controls!B76)^5+462*(1-Controls!B76)^6+792*(1-Controls!B76)^7+1287*(1-Controls!B76)^8))</x:f>
        <x:v>0.999452127064977</x:v>
      </x:c>
      <x:c r="G12" s="21" t="str">
        <x:v>NOT MINIMUM</x:v>
      </x:c>
      <x:c r="H12" s="21" t="str">
        <x:v>additional capacity without declared need</x:v>
      </x:c>
    </x:row>
  </x:sheetData>
  <x:conditionalFormatting sqref="G5:G12">
    <x:cfRule type="containsText" dxfId="18" priority="1" operator="containsText" text="PASS"/>
    <x:cfRule type="containsText" dxfId="19" priority="2" operator="containsText" text="ACCEPTED"/>
    <x:cfRule type="containsText" dxfId="20" priority="3" operator="containsText" text="OPEN"/>
    <x:cfRule type="containsText" dxfId="21" priority="4" operator="containsText" text="BLOCKED"/>
    <x:cfRule type="containsText" dxfId="22" priority="5" operator="containsText" text="FAIL"/>
    <x:cfRule type="containsText" dxfId="23" priority="6" operator="containsText" text="STO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62" hidden="0" customWidth="1"/>
  </x:cols>
  <x:sheetData>
    <x:row r="1" ht="28" customHeight="1">
      <x:c r="A1" s="17" t="str">
        <x:v>Reserve sensitivity</x:v>
      </x:c>
      <x:c r="B1" s="17"/>
      <x:c r="C1" s="17"/>
      <x:c r="D1" s="17"/>
      <x:c r="E1" s="17"/>
      <x:c r="F1" s="17"/>
    </x:row>
    <x:row r="2" ht="34" customHeight="1">
      <x:c r="A2" s="18" t="str">
        <x:v>Conditional completion for two six-cell root families after one accepted seed.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>
      <x:c r="A4" s="20" t="str">
        <x:v>Attempt validity</x:v>
      </x:c>
      <x:c r="B4" s="20" t="str">
        <x:v>5 reserves/family</x:v>
      </x:c>
      <x:c r="C4" s="20" t="str">
        <x:v>6 reserves/family</x:v>
      </x:c>
      <x:c r="D4" s="20" t="str">
        <x:v>7 reserves/family</x:v>
      </x:c>
      <x:c r="E4" s="20" t="str">
        <x:v>8 reserves/family</x:v>
      </x:c>
      <x:c r="F4" s="20" t="str">
        <x:v>Interpretation</x:v>
      </x:c>
    </x:row>
    <x:row r="5">
      <x:c r="A5" s="23" t="n">
        <x:v>0.55</x:v>
      </x:c>
      <x:c r="B5" s="23" t="n">
        <x:f>($A5^5*(1*(1-$A5)^0+5*(1-$A5)^1+15*(1-$A5)^2+35*(1-$A5)^3+70*(1-$A5)^4+126*(1-$A5)^5))*($A5^6*(1*(1-$A5)^0+6*(1-$A5)^1+21*(1-$A5)^2+56*(1-$A5)^3+126*(1-$A5)^4+252*(1-$A5)^5))</x:f>
        <x:v>0.4675213286786001</x:v>
      </x:c>
      <x:c r="C5" s="23" t="n">
        <x:f>($A5^5*(1*(1-$A5)^0+5*(1-$A5)^1+15*(1-$A5)^2+35*(1-$A5)^3+70*(1-$A5)^4+126*(1-$A5)^5+210*(1-$A5)^6))*($A5^6*(1*(1-$A5)^0+6*(1-$A5)^1+21*(1-$A5)^2+56*(1-$A5)^3+126*(1-$A5)^4+252*(1-$A5)^5+462*(1-$A5)^6))</x:f>
        <x:v>0.6108216665698416</x:v>
      </x:c>
      <x:c r="D5" s="23" t="n">
        <x:f>($A5^5*(1*(1-$A5)^0+5*(1-$A5)^1+15*(1-$A5)^2+35*(1-$A5)^3+70*(1-$A5)^4+126*(1-$A5)^5+210*(1-$A5)^6+330*(1-$A5)^7))*($A5^6*(1*(1-$A5)^0+6*(1-$A5)^1+21*(1-$A5)^2+56*(1-$A5)^3+126*(1-$A5)^4+252*(1-$A5)^5+462*(1-$A5)^6+792*(1-$A5)^7))</x:f>
        <x:v>0.7294699788056233</x:v>
      </x:c>
      <x:c r="E5" s="23" t="n">
        <x:f>($A5^5*(1*(1-$A5)^0+5*(1-$A5)^1+15*(1-$A5)^2+35*(1-$A5)^3+70*(1-$A5)^4+126*(1-$A5)^5+210*(1-$A5)^6+330*(1-$A5)^7+495*(1-$A5)^8))*($A5^6*(1*(1-$A5)^0+6*(1-$A5)^1+21*(1-$A5)^2+56*(1-$A5)^3+126*(1-$A5)^4+252*(1-$A5)^5+462*(1-$A5)^6+792*(1-$A5)^7+1287*(1-$A5)^8))</x:f>
        <x:v>0.8195917902062689</x:v>
      </x:c>
      <x:c r="F5" s="21" t="str">
        <x:v>capacity only; valid adverse results are outside this calculation</x:v>
      </x:c>
    </x:row>
    <x:row r="6">
      <x:c r="A6" s="23" t="n">
        <x:v>0.6</x:v>
      </x:c>
      <x:c r="B6" s="23" t="n">
        <x:f>($A6^5*(1*(1-$A6)^0+5*(1-$A6)^1+15*(1-$A6)^2+35*(1-$A6)^3+70*(1-$A6)^4+126*(1-$A6)^5))*($A6^6*(1*(1-$A6)^0+6*(1-$A6)^1+21*(1-$A6)^2+56*(1-$A6)^3+126*(1-$A6)^4+252*(1-$A6)^5))</x:f>
        <x:v>0.628237644572343</x:v>
      </x:c>
      <x:c r="C6" s="23" t="n">
        <x:f>($A6^5*(1*(1-$A6)^0+5*(1-$A6)^1+15*(1-$A6)^2+35*(1-$A6)^3+70*(1-$A6)^4+126*(1-$A6)^5+210*(1-$A6)^6))*($A6^6*(1*(1-$A6)^0+6*(1-$A6)^1+21*(1-$A6)^2+56*(1-$A6)^3+126*(1-$A6)^4+252*(1-$A6)^5+462*(1-$A6)^6))</x:f>
        <x:v>0.7581539302174705</x:v>
      </x:c>
      <x:c r="D6" s="23" t="n">
        <x:f>($A6^5*(1*(1-$A6)^0+5*(1-$A6)^1+15*(1-$A6)^2+35*(1-$A6)^3+70*(1-$A6)^4+126*(1-$A6)^5+210*(1-$A6)^6+330*(1-$A6)^7))*($A6^6*(1*(1-$A6)^0+6*(1-$A6)^1+21*(1-$A6)^2+56*(1-$A6)^3+126*(1-$A6)^4+252*(1-$A6)^5+462*(1-$A6)^6+792*(1-$A6)^7))</x:f>
        <x:v>0.850616718769029</x:v>
      </x:c>
      <x:c r="E6" s="23" t="n">
        <x:f>($A6^5*(1*(1-$A6)^0+5*(1-$A6)^1+15*(1-$A6)^2+35*(1-$A6)^3+70*(1-$A6)^4+126*(1-$A6)^5+210*(1-$A6)^6+330*(1-$A6)^7+495*(1-$A6)^8))*($A6^6*(1*(1-$A6)^0+6*(1-$A6)^1+21*(1-$A6)^2+56*(1-$A6)^3+126*(1-$A6)^4+252*(1-$A6)^5+462*(1-$A6)^6+792*(1-$A6)^7+1287*(1-$A6)^8))</x:f>
        <x:v>0.9114678507446253</x:v>
      </x:c>
      <x:c r="F6" s="21" t="str">
        <x:v>capacity only; valid adverse results are outside this calculation</x:v>
      </x:c>
    </x:row>
    <x:row r="7">
      <x:c r="A7" s="23" t="n">
        <x:v>0.65</x:v>
      </x:c>
      <x:c r="B7" s="23" t="n">
        <x:f>($A7^5*(1*(1-$A7)^0+5*(1-$A7)^1+15*(1-$A7)^2+35*(1-$A7)^3+70*(1-$A7)^4+126*(1-$A7)^5))*($A7^6*(1*(1-$A7)^0+6*(1-$A7)^1+21*(1-$A7)^2+56*(1-$A7)^3+126*(1-$A7)^4+252*(1-$A7)^5))</x:f>
        <x:v>0.7704973484728278</x:v>
      </x:c>
      <x:c r="C7" s="23" t="n">
        <x:f>($A7^5*(1*(1-$A7)^0+5*(1-$A7)^1+15*(1-$A7)^2+35*(1-$A7)^3+70*(1-$A7)^4+126*(1-$A7)^5+210*(1-$A7)^6))*($A7^6*(1*(1-$A7)^0+6*(1-$A7)^1+21*(1-$A7)^2+56*(1-$A7)^3+126*(1-$A7)^4+252*(1-$A7)^5+462*(1-$A7)^6))</x:f>
        <x:v>0.8694689056256191</x:v>
      </x:c>
      <x:c r="D7" s="23" t="n">
        <x:f>($A7^5*(1*(1-$A7)^0+5*(1-$A7)^1+15*(1-$A7)^2+35*(1-$A7)^3+70*(1-$A7)^4+126*(1-$A7)^5+210*(1-$A7)^6+330*(1-$A7)^7))*($A7^6*(1*(1-$A7)^0+6*(1-$A7)^1+21*(1-$A7)^2+56*(1-$A7)^3+126*(1-$A7)^4+252*(1-$A7)^5+462*(1-$A7)^6+792*(1-$A7)^7))</x:f>
        <x:v>0.9294699449615466</x:v>
      </x:c>
      <x:c r="E7" s="23" t="n">
        <x:f>($A7^5*(1*(1-$A7)^0+5*(1-$A7)^1+15*(1-$A7)^2+35*(1-$A7)^3+70*(1-$A7)^4+126*(1-$A7)^5+210*(1-$A7)^6+330*(1-$A7)^7+495*(1-$A7)^8))*($A7^6*(1*(1-$A7)^0+6*(1-$A7)^1+21*(1-$A7)^2+56*(1-$A7)^3+126*(1-$A7)^4+252*(1-$A7)^5+462*(1-$A7)^6+792*(1-$A7)^7+1287*(1-$A7)^8))</x:f>
        <x:v>0.9633887029398445</x:v>
      </x:c>
      <x:c r="F7" s="21" t="str">
        <x:v>capacity only; valid adverse results are outside this calculation</x:v>
      </x:c>
    </x:row>
    <x:row r="8">
      <x:c r="A8" s="23" t="n">
        <x:v>0.7</x:v>
      </x:c>
      <x:c r="B8" s="23" t="n">
        <x:f>($A8^5*(1*(1-$A8)^0+5*(1-$A8)^1+15*(1-$A8)^2+35*(1-$A8)^3+70*(1-$A8)^4+126*(1-$A8)^5))*($A8^6*(1*(1-$A8)^0+6*(1-$A8)^1+21*(1-$A8)^2+56*(1-$A8)^3+126*(1-$A8)^4+252*(1-$A8)^5))</x:f>
        <x:v>0.8781300862815326</x:v>
      </x:c>
      <x:c r="C8" s="23" t="n">
        <x:f>($A8^5*(1*(1-$A8)^0+5*(1-$A8)^1+15*(1-$A8)^2+35*(1-$A8)^3+70*(1-$A8)^4+126*(1-$A8)^5+210*(1-$A8)^6))*($A8^6*(1*(1-$A8)^0+6*(1-$A8)^1+21*(1-$A8)^2+56*(1-$A8)^3+126*(1-$A8)^4+252*(1-$A8)^5+462*(1-$A8)^6))</x:f>
        <x:v>0.9406145233006582</x:v>
      </x:c>
      <x:c r="D8" s="23" t="n">
        <x:f>($A8^5*(1*(1-$A8)^0+5*(1-$A8)^1+15*(1-$A8)^2+35*(1-$A8)^3+70*(1-$A8)^4+126*(1-$A8)^5+210*(1-$A8)^6+330*(1-$A8)^7))*($A8^6*(1*(1-$A8)^0+6*(1-$A8)^1+21*(1-$A8)^2+56*(1-$A8)^3+126*(1-$A8)^4+252*(1-$A8)^5+462*(1-$A8)^6+792*(1-$A8)^7))</x:f>
        <x:v>0.9724607391944224</x:v>
      </x:c>
      <x:c r="E8" s="23" t="n">
        <x:f>($A8^5*(1*(1-$A8)^0+5*(1-$A8)^1+15*(1-$A8)^2+35*(1-$A8)^3+70*(1-$A8)^4+126*(1-$A8)^5+210*(1-$A8)^6+330*(1-$A8)^7+495*(1-$A8)^8))*($A8^6*(1*(1-$A8)^0+6*(1-$A8)^1+21*(1-$A8)^2+56*(1-$A8)^3+126*(1-$A8)^4+252*(1-$A8)^5+462*(1-$A8)^6+792*(1-$A8)^7+1287*(1-$A8)^8))</x:f>
        <x:v>0.9877139177319259</x:v>
      </x:c>
      <x:c r="F8" s="21" t="str">
        <x:v>capacity only; valid adverse results are outside this calculation</x:v>
      </x:c>
    </x:row>
    <x:row r="9">
      <x:c r="A9" s="23" t="n">
        <x:v>0.75</x:v>
      </x:c>
      <x:c r="B9" s="23" t="n">
        <x:f>($A9^5*(1*(1-$A9)^0+5*(1-$A9)^1+15*(1-$A9)^2+35*(1-$A9)^3+70*(1-$A9)^4+126*(1-$A9)^5))*($A9^6*(1*(1-$A9)^0+6*(1-$A9)^1+21*(1-$A9)^2+56*(1-$A9)^3+126*(1-$A9)^4+252*(1-$A9)^5))</x:f>
        <x:v>0.9466219890691718</x:v>
      </x:c>
      <x:c r="C9" s="23" t="n">
        <x:f>($A9^5*(1*(1-$A9)^0+5*(1-$A9)^1+15*(1-$A9)^2+35*(1-$A9)^3+70*(1-$A9)^4+126*(1-$A9)^5+210*(1-$A9)^6))*($A9^6*(1*(1-$A9)^0+6*(1-$A9)^1+21*(1-$A9)^2+56*(1-$A9)^3+126*(1-$A9)^4+252*(1-$A9)^5+462*(1-$A9)^6))</x:f>
        <x:v>0.9782937795458224</x:v>
      </x:c>
      <x:c r="D9" s="23" t="n">
        <x:f>($A9^5*(1*(1-$A9)^0+5*(1-$A9)^1+15*(1-$A9)^2+35*(1-$A9)^3+70*(1-$A9)^4+126*(1-$A9)^5+210*(1-$A9)^6+330*(1-$A9)^7))*($A9^6*(1*(1-$A9)^0+6*(1-$A9)^1+21*(1-$A9)^2+56*(1-$A9)^3+126*(1-$A9)^4+252*(1-$A9)^5+462*(1-$A9)^6+792*(1-$A9)^7))</x:f>
        <x:v>0.9915848750800649</x:v>
      </x:c>
      <x:c r="E9" s="23" t="n">
        <x:f>($A9^5*(1*(1-$A9)^0+5*(1-$A9)^1+15*(1-$A9)^2+35*(1-$A9)^3+70*(1-$A9)^4+126*(1-$A9)^5+210*(1-$A9)^6+330*(1-$A9)^7+495*(1-$A9)^8))*($A9^6*(1*(1-$A9)^0+6*(1-$A9)^1+21*(1-$A9)^2+56*(1-$A9)^3+126*(1-$A9)^4+252*(1-$A9)^5+462*(1-$A9)^6+792*(1-$A9)^7+1287*(1-$A9)^8))</x:f>
        <x:v>0.996858831375764</x:v>
      </x:c>
      <x:c r="F9" s="21" t="str">
        <x:v>capacity only; valid adverse results are outside this calculation</x:v>
      </x:c>
    </x:row>
    <x:row r="10">
      <x:c r="A10" s="23" t="n">
        <x:v>0.8</x:v>
      </x:c>
      <x:c r="B10" s="23" t="n">
        <x:f>($A10^5*(1*(1-$A10)^0+5*(1-$A10)^1+15*(1-$A10)^2+35*(1-$A10)^3+70*(1-$A10)^4+126*(1-$A10)^5))*($A10^6*(1*(1-$A10)^0+6*(1-$A10)^1+21*(1-$A10)^2+56*(1-$A10)^3+126*(1-$A10)^4+252*(1-$A10)^5))</x:f>
        <x:v>0.9820506422510155</x:v>
      </x:c>
      <x:c r="C10" s="23" t="n">
        <x:f>($A10^5*(1*(1-$A10)^0+5*(1-$A10)^1+15*(1-$A10)^2+35*(1-$A10)^3+70*(1-$A10)^4+126*(1-$A10)^5+210*(1-$A10)^6))*($A10^6*(1*(1-$A10)^0+6*(1-$A10)^1+21*(1-$A10)^2+56*(1-$A10)^3+126*(1-$A10)^4+252*(1-$A10)^5+462*(1-$A10)^6))</x:f>
        <x:v>0.9941391762233058</x:v>
      </x:c>
      <x:c r="D10" s="23" t="n">
        <x:f>($A10^5*(1*(1-$A10)^0+5*(1-$A10)^1+15*(1-$A10)^2+35*(1-$A10)^3+70*(1-$A10)^4+126*(1-$A10)^5+210*(1-$A10)^6+330*(1-$A10)^7))*($A10^6*(1*(1-$A10)^0+6*(1-$A10)^1+21*(1-$A10)^2+56*(1-$A10)^3+126*(1-$A10)^4+252*(1-$A10)^5+462*(1-$A10)^6+792*(1-$A10)^7))</x:f>
        <x:v>0.9981738604945245</x:v>
      </x:c>
      <x:c r="E10" s="23" t="n">
        <x:f>($A10^5*(1*(1-$A10)^0+5*(1-$A10)^1+15*(1-$A10)^2+35*(1-$A10)^3+70*(1-$A10)^4+126*(1-$A10)^5+210*(1-$A10)^6+330*(1-$A10)^7+495*(1-$A10)^8))*($A10^6*(1*(1-$A10)^0+6*(1-$A10)^1+21*(1-$A10)^2+56*(1-$A10)^3+126*(1-$A10)^4+252*(1-$A10)^5+462*(1-$A10)^6+792*(1-$A10)^7+1287*(1-$A10)^8))</x:f>
        <x:v>0.999452127064977</x:v>
      </x:c>
      <x:c r="F10" s="21" t="str">
        <x:v>capacity only; valid adverse results are outside this calculation</x:v>
      </x:c>
    </x:row>
    <x:row r="11">
      <x:c r="A11" s="23" t="n">
        <x:v>0.85</x:v>
      </x:c>
      <x:c r="B11" s="23" t="n">
        <x:f>($A11^5*(1*(1-$A11)^0+5*(1-$A11)^1+15*(1-$A11)^2+35*(1-$A11)^3+70*(1-$A11)^4+126*(1-$A11)^5))*($A11^6*(1*(1-$A11)^0+6*(1-$A11)^1+21*(1-$A11)^2+56*(1-$A11)^3+126*(1-$A11)^4+252*(1-$A11)^5))</x:f>
        <x:v>0.9959635762746998</x:v>
      </x:c>
      <x:c r="C11" s="23" t="n">
        <x:f>($A11^5*(1*(1-$A11)^0+5*(1-$A11)^1+15*(1-$A11)^2+35*(1-$A11)^3+70*(1-$A11)^4+126*(1-$A11)^5+210*(1-$A11)^6))*($A11^6*(1*(1-$A11)^0+6*(1-$A11)^1+21*(1-$A11)^2+56*(1-$A11)^3+126*(1-$A11)^4+252*(1-$A11)^5+462*(1-$A11)^6))</x:f>
        <x:v>0.9990062120635326</x:v>
      </x:c>
      <x:c r="D11" s="23" t="n">
        <x:f>($A11^5*(1*(1-$A11)^0+5*(1-$A11)^1+15*(1-$A11)^2+35*(1-$A11)^3+70*(1-$A11)^4+126*(1-$A11)^5+210*(1-$A11)^6+330*(1-$A11)^7))*($A11^6*(1*(1-$A11)^0+6*(1-$A11)^1+21*(1-$A11)^2+56*(1-$A11)^3+126*(1-$A11)^4+252*(1-$A11)^5+462*(1-$A11)^6+792*(1-$A11)^7))</x:f>
        <x:v>0.9997665454021096</x:v>
      </x:c>
      <x:c r="E11" s="23" t="n">
        <x:f>($A11^5*(1*(1-$A11)^0+5*(1-$A11)^1+15*(1-$A11)^2+35*(1-$A11)^3+70*(1-$A11)^4+126*(1-$A11)^5+210*(1-$A11)^6+330*(1-$A11)^7+495*(1-$A11)^8))*($A11^6*(1*(1-$A11)^0+6*(1-$A11)^1+21*(1-$A11)^2+56*(1-$A11)^3+126*(1-$A11)^4+252*(1-$A11)^5+462*(1-$A11)^6+792*(1-$A11)^7+1287*(1-$A11)^8))</x:f>
        <x:v>0.9999472247180629</x:v>
      </x:c>
      <x:c r="F11" s="21" t="str">
        <x:v>capacity only; valid adverse results are outside this calculation</x:v>
      </x:c>
    </x:row>
    <x:row r="12">
      <x:c r="A12" s="23" t="n">
        <x:v>0.88</x:v>
      </x:c>
      <x:c r="B12" s="23" t="n">
        <x:f>($A12^5*(1*(1-$A12)^0+5*(1-$A12)^1+15*(1-$A12)^2+35*(1-$A12)^3+70*(1-$A12)^4+126*(1-$A12)^5))*($A12^6*(1*(1-$A12)^0+6*(1-$A12)^1+21*(1-$A12)^2+56*(1-$A12)^3+126*(1-$A12)^4+252*(1-$A12)^5))</x:f>
        <x:v>0.9987894469091666</x:v>
      </x:c>
      <x:c r="C12" s="23" t="n">
        <x:f>($A12^5*(1*(1-$A12)^0+5*(1-$A12)^1+15*(1-$A12)^2+35*(1-$A12)^3+70*(1-$A12)^4+126*(1-$A12)^5+210*(1-$A12)^6))*($A12^6*(1*(1-$A12)^0+6*(1-$A12)^1+21*(1-$A12)^2+56*(1-$A12)^3+126*(1-$A12)^4+252*(1-$A12)^5+462*(1-$A12)^6))</x:f>
        <x:v>0.9997607068508977</x:v>
      </x:c>
      <x:c r="D12" s="23" t="n">
        <x:f>($A12^5*(1*(1-$A12)^0+5*(1-$A12)^1+15*(1-$A12)^2+35*(1-$A12)^3+70*(1-$A12)^4+126*(1-$A12)^5+210*(1-$A12)^6+330*(1-$A12)^7))*($A12^6*(1*(1-$A12)^0+6*(1-$A12)^1+21*(1-$A12)^2+56*(1-$A12)^3+126*(1-$A12)^4+252*(1-$A12)^5+462*(1-$A12)^6+792*(1-$A12)^7))</x:f>
        <x:v>0.9999548887824736</x:v>
      </x:c>
      <x:c r="E12" s="23" t="n">
        <x:f>($A12^5*(1*(1-$A12)^0+5*(1-$A12)^1+15*(1-$A12)^2+35*(1-$A12)^3+70*(1-$A12)^4+126*(1-$A12)^5+210*(1-$A12)^6+330*(1-$A12)^7+495*(1-$A12)^8))*($A12^6*(1*(1-$A12)^0+6*(1-$A12)^1+21*(1-$A12)^2+56*(1-$A12)^3+126*(1-$A12)^4+252*(1-$A12)^5+462*(1-$A12)^6+792*(1-$A12)^7+1287*(1-$A12)^8))</x:f>
        <x:v>0.9999918201563681</x:v>
      </x:c>
      <x:c r="F12" s="21" t="str">
        <x:v>capacity only; valid adverse results are outside this calculation</x:v>
      </x:c>
    </x:row>
    <x:row r="13">
      <x:c r="A13" s="23" t="n">
        <x:v>0.9</x:v>
      </x:c>
      <x:c r="B13" s="23" t="n">
        <x:f>($A13^5*(1*(1-$A13)^0+5*(1-$A13)^1+15*(1-$A13)^2+35*(1-$A13)^3+70*(1-$A13)^4+126*(1-$A13)^5))*($A13^6*(1*(1-$A13)^0+6*(1-$A13)^1+21*(1-$A13)^2+56*(1-$A13)^3+126*(1-$A13)^4+252*(1-$A13)^5))</x:f>
        <x:v>0.9995574347599919</x:v>
      </x:c>
      <x:c r="C13" s="23" t="n">
        <x:f>($A13^5*(1*(1-$A13)^0+5*(1-$A13)^1+15*(1-$A13)^2+35*(1-$A13)^3+70*(1-$A13)^4+126*(1-$A13)^5+210*(1-$A13)^6))*($A13^6*(1*(1-$A13)^0+6*(1-$A13)^1+21*(1-$A13)^2+56*(1-$A13)^3+126*(1-$A13)^4+252*(1-$A13)^5+462*(1-$A13)^6))</x:f>
        <x:v>0.9999269211111147</x:v>
      </x:c>
      <x:c r="D13" s="23" t="n">
        <x:f>($A13^5*(1*(1-$A13)^0+5*(1-$A13)^1+15*(1-$A13)^2+35*(1-$A13)^3+70*(1-$A13)^4+126*(1-$A13)^5+210*(1-$A13)^6+330*(1-$A13)^7))*($A13^6*(1*(1-$A13)^0+6*(1-$A13)^1+21*(1-$A13)^2+56*(1-$A13)^3+126*(1-$A13)^4+252*(1-$A13)^5+462*(1-$A13)^6+792*(1-$A13)^7))</x:f>
        <x:v>0.9999884962868162</x:v>
      </x:c>
      <x:c r="E13" s="23" t="n">
        <x:f>($A13^5*(1*(1-$A13)^0+5*(1-$A13)^1+15*(1-$A13)^2+35*(1-$A13)^3+70*(1-$A13)^4+126*(1-$A13)^5+210*(1-$A13)^6+330*(1-$A13)^7+495*(1-$A13)^8))*($A13^6*(1*(1-$A13)^0+6*(1-$A13)^1+21*(1-$A13)^2+56*(1-$A13)^3+126*(1-$A13)^4+252*(1-$A13)^5+462*(1-$A13)^6+792*(1-$A13)^7+1287*(1-$A13)^8))</x:f>
        <x:v>0.9999982588309834</x:v>
      </x:c>
      <x:c r="F13" s="21" t="str">
        <x:v>capacity only; valid adverse results are outside this calculation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2" hidden="0" customWidth="1"/>
    <x:col min="5" max="5" width="24" hidden="0" customWidth="1"/>
    <x:col min="6" max="6" width="14" hidden="0" customWidth="1"/>
    <x:col min="7" max="7" width="27" hidden="0" customWidth="1"/>
    <x:col min="8" max="8" width="15" hidden="0" customWidth="1"/>
    <x:col min="9" max="9" width="15" hidden="0" customWidth="1"/>
    <x:col min="10" max="10" width="19" hidden="0" customWidth="1"/>
    <x:col min="11" max="11" width="17" hidden="0" customWidth="1"/>
    <x:col min="12" max="12" width="15" hidden="0" customWidth="1"/>
  </x:cols>
  <x:sheetData>
    <x:row r="1" ht="28" customHeight="1">
      <x:c r="A1" s="17" t="str">
        <x:v>Twenty-eight-package QE-03 source bank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4" customHeight="1">
      <x:c r="A2" s="18" t="str">
        <x:v>Twelve active, fourteen operational reserve and two untokened forensic packages.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>
      <x:c r="A4" s="20" t="str">
        <x:v>Package</x:v>
      </x:c>
      <x:c r="B4" s="20" t="str">
        <x:v>Family</x:v>
      </x:c>
      <x:c r="C4" s="20" t="str">
        <x:v>Method</x:v>
      </x:c>
      <x:c r="D4" s="20" t="str">
        <x:v>Root</x:v>
      </x:c>
      <x:c r="E4" s="20" t="str">
        <x:v>Role</x:v>
      </x:c>
      <x:c r="F4" s="20" t="str">
        <x:v>Ordinal</x:v>
      </x:c>
      <x:c r="G4" s="20" t="str">
        <x:v>Assigned use</x:v>
      </x:c>
      <x:c r="H4" s="20" t="str">
        <x:v>Event kg</x:v>
      </x:c>
      <x:c r="I4" s="20" t="str">
        <x:v>Assay kg</x:v>
      </x:c>
      <x:c r="J4" s="20" t="str">
        <x:v>Conditioning kg</x:v>
      </x:c>
      <x:c r="K4" s="20" t="str">
        <x:v>Protected kg</x:v>
      </x:c>
      <x:c r="L4" s="20" t="str">
        <x:v>State</x:v>
      </x:c>
    </x:row>
    <x:row r="5">
      <x:c r="A5" s="21" t="str">
        <x:v>F1-A01</x:v>
      </x:c>
      <x:c r="B5" s="21" t="str">
        <x:v>F1</x:v>
      </x:c>
      <x:c r="C5" s="21" t="str">
        <x:v>AM-05</x:v>
      </x:c>
      <x:c r="D5" s="21" t="str">
        <x:v>TR-A</x:v>
      </x:c>
      <x:c r="E5" s="21" t="str">
        <x:v>ACTIVE</x:v>
      </x:c>
      <x:c r="F5" s="21" t="n">
        <x:v>1</x:v>
      </x:c>
      <x:c r="G5" s="21" t="str">
        <x:v>RFP-A1</x:v>
      </x:c>
      <x:c r="H5" s="21" t="n">
        <x:v>250</x:v>
      </x:c>
      <x:c r="I5" s="21" t="n">
        <x:v>15</x:v>
      </x:c>
      <x:c r="J5" s="21" t="n">
        <x:v>20</x:v>
      </x:c>
      <x:c r="K5" s="21" t="n">
        <x:v>15</x:v>
      </x:c>
      <x:c r="L5" s="21" t="str">
        <x:v>OPEN</x:v>
      </x:c>
    </x:row>
    <x:row r="6">
      <x:c r="A6" s="21" t="str">
        <x:v>F1-A02</x:v>
      </x:c>
      <x:c r="B6" s="21" t="str">
        <x:v>F1</x:v>
      </x:c>
      <x:c r="C6" s="21" t="str">
        <x:v>AM-05</x:v>
      </x:c>
      <x:c r="D6" s="21" t="str">
        <x:v>TR-A</x:v>
      </x:c>
      <x:c r="E6" s="21" t="str">
        <x:v>ACTIVE</x:v>
      </x:c>
      <x:c r="F6" s="21" t="n">
        <x:v>2</x:v>
      </x:c>
      <x:c r="G6" s="21" t="str">
        <x:v>RFP-A2</x:v>
      </x:c>
      <x:c r="H6" s="21" t="n">
        <x:v>250</x:v>
      </x:c>
      <x:c r="I6" s="21" t="n">
        <x:v>15</x:v>
      </x:c>
      <x:c r="J6" s="21" t="n">
        <x:v>20</x:v>
      </x:c>
      <x:c r="K6" s="21" t="n">
        <x:v>15</x:v>
      </x:c>
      <x:c r="L6" s="21" t="str">
        <x:v>OPEN</x:v>
      </x:c>
    </x:row>
    <x:row r="7">
      <x:c r="A7" s="21" t="str">
        <x:v>F1-A03</x:v>
      </x:c>
      <x:c r="B7" s="21" t="str">
        <x:v>F1</x:v>
      </x:c>
      <x:c r="C7" s="21" t="str">
        <x:v>AM-05</x:v>
      </x:c>
      <x:c r="D7" s="21" t="str">
        <x:v>TR-A</x:v>
      </x:c>
      <x:c r="E7" s="21" t="str">
        <x:v>ACTIVE</x:v>
      </x:c>
      <x:c r="F7" s="21" t="n">
        <x:v>3</x:v>
      </x:c>
      <x:c r="G7" s="21" t="str">
        <x:v>RFP-B1</x:v>
      </x:c>
      <x:c r="H7" s="21" t="n">
        <x:v>250</x:v>
      </x:c>
      <x:c r="I7" s="21" t="n">
        <x:v>15</x:v>
      </x:c>
      <x:c r="J7" s="21" t="n">
        <x:v>20</x:v>
      </x:c>
      <x:c r="K7" s="21" t="n">
        <x:v>15</x:v>
      </x:c>
      <x:c r="L7" s="21" t="str">
        <x:v>OPEN</x:v>
      </x:c>
    </x:row>
    <x:row r="8">
      <x:c r="A8" s="21" t="str">
        <x:v>F1-A04</x:v>
      </x:c>
      <x:c r="B8" s="21" t="str">
        <x:v>F1</x:v>
      </x:c>
      <x:c r="C8" s="21" t="str">
        <x:v>AM-05</x:v>
      </x:c>
      <x:c r="D8" s="21" t="str">
        <x:v>TR-A</x:v>
      </x:c>
      <x:c r="E8" s="21" t="str">
        <x:v>ACTIVE</x:v>
      </x:c>
      <x:c r="F8" s="21" t="n">
        <x:v>4</x:v>
      </x:c>
      <x:c r="G8" s="21" t="str">
        <x:v>RFP-B2</x:v>
      </x:c>
      <x:c r="H8" s="21" t="n">
        <x:v>250</x:v>
      </x:c>
      <x:c r="I8" s="21" t="n">
        <x:v>15</x:v>
      </x:c>
      <x:c r="J8" s="21" t="n">
        <x:v>20</x:v>
      </x:c>
      <x:c r="K8" s="21" t="n">
        <x:v>15</x:v>
      </x:c>
      <x:c r="L8" s="21" t="str">
        <x:v>OPEN</x:v>
      </x:c>
    </x:row>
    <x:row r="9">
      <x:c r="A9" s="21" t="str">
        <x:v>F1-A05</x:v>
      </x:c>
      <x:c r="B9" s="21" t="str">
        <x:v>F1</x:v>
      </x:c>
      <x:c r="C9" s="21" t="str">
        <x:v>AM-05</x:v>
      </x:c>
      <x:c r="D9" s="21" t="str">
        <x:v>TR-A</x:v>
      </x:c>
      <x:c r="E9" s="21" t="str">
        <x:v>ACTIVE</x:v>
      </x:c>
      <x:c r="F9" s="21" t="n">
        <x:v>5</x:v>
      </x:c>
      <x:c r="G9" s="21" t="str">
        <x:v>RFP-C1</x:v>
      </x:c>
      <x:c r="H9" s="21" t="n">
        <x:v>250</x:v>
      </x:c>
      <x:c r="I9" s="21" t="n">
        <x:v>15</x:v>
      </x:c>
      <x:c r="J9" s="21" t="n">
        <x:v>20</x:v>
      </x:c>
      <x:c r="K9" s="21" t="n">
        <x:v>15</x:v>
      </x:c>
      <x:c r="L9" s="21" t="str">
        <x:v>OPEN</x:v>
      </x:c>
    </x:row>
    <x:row r="10">
      <x:c r="A10" s="21" t="str">
        <x:v>F1-A06</x:v>
      </x:c>
      <x:c r="B10" s="21" t="str">
        <x:v>F1</x:v>
      </x:c>
      <x:c r="C10" s="21" t="str">
        <x:v>AM-05</x:v>
      </x:c>
      <x:c r="D10" s="21" t="str">
        <x:v>TR-A</x:v>
      </x:c>
      <x:c r="E10" s="21" t="str">
        <x:v>ACTIVE</x:v>
      </x:c>
      <x:c r="F10" s="21" t="n">
        <x:v>6</x:v>
      </x:c>
      <x:c r="G10" s="21" t="str">
        <x:v>RFP-C2</x:v>
      </x:c>
      <x:c r="H10" s="21" t="n">
        <x:v>250</x:v>
      </x:c>
      <x:c r="I10" s="21" t="n">
        <x:v>15</x:v>
      </x:c>
      <x:c r="J10" s="21" t="n">
        <x:v>20</x:v>
      </x:c>
      <x:c r="K10" s="21" t="n">
        <x:v>15</x:v>
      </x:c>
      <x:c r="L10" s="21" t="str">
        <x:v>OPEN</x:v>
      </x:c>
    </x:row>
    <x:row r="11">
      <x:c r="A11" s="21" t="str">
        <x:v>F1-R01</x:v>
      </x:c>
      <x:c r="B11" s="21" t="str">
        <x:v>F1</x:v>
      </x:c>
      <x:c r="C11" s="21" t="str">
        <x:v>AM-05</x:v>
      </x:c>
      <x:c r="D11" s="21" t="str">
        <x:v>TR-A</x:v>
      </x:c>
      <x:c r="E11" s="21" t="str">
        <x:v>OPERATIONAL RESERVE</x:v>
      </x:c>
      <x:c r="F11" s="21" t="n">
        <x:v>1</x:v>
      </x:c>
      <x:c r="G11" s="21" t="str">
        <x:v>same-cell invalid only</x:v>
      </x:c>
      <x:c r="H11" s="21" t="n">
        <x:v>250</x:v>
      </x:c>
      <x:c r="I11" s="21" t="n">
        <x:v>15</x:v>
      </x:c>
      <x:c r="J11" s="21" t="n">
        <x:v>20</x:v>
      </x:c>
      <x:c r="K11" s="21" t="n">
        <x:v>15</x:v>
      </x:c>
      <x:c r="L11" s="21" t="str">
        <x:v>OPEN</x:v>
      </x:c>
    </x:row>
    <x:row r="12">
      <x:c r="A12" s="21" t="str">
        <x:v>F1-R02</x:v>
      </x:c>
      <x:c r="B12" s="21" t="str">
        <x:v>F1</x:v>
      </x:c>
      <x:c r="C12" s="21" t="str">
        <x:v>AM-05</x:v>
      </x:c>
      <x:c r="D12" s="21" t="str">
        <x:v>TR-A</x:v>
      </x:c>
      <x:c r="E12" s="21" t="str">
        <x:v>OPERATIONAL RESERVE</x:v>
      </x:c>
      <x:c r="F12" s="21" t="n">
        <x:v>2</x:v>
      </x:c>
      <x:c r="G12" s="21" t="str">
        <x:v>same-cell invalid only</x:v>
      </x:c>
      <x:c r="H12" s="21" t="n">
        <x:v>250</x:v>
      </x:c>
      <x:c r="I12" s="21" t="n">
        <x:v>15</x:v>
      </x:c>
      <x:c r="J12" s="21" t="n">
        <x:v>20</x:v>
      </x:c>
      <x:c r="K12" s="21" t="n">
        <x:v>15</x:v>
      </x:c>
      <x:c r="L12" s="21" t="str">
        <x:v>OPEN</x:v>
      </x:c>
    </x:row>
    <x:row r="13">
      <x:c r="A13" s="21" t="str">
        <x:v>F1-R03</x:v>
      </x:c>
      <x:c r="B13" s="21" t="str">
        <x:v>F1</x:v>
      </x:c>
      <x:c r="C13" s="21" t="str">
        <x:v>AM-05</x:v>
      </x:c>
      <x:c r="D13" s="21" t="str">
        <x:v>TR-A</x:v>
      </x:c>
      <x:c r="E13" s="21" t="str">
        <x:v>OPERATIONAL RESERVE</x:v>
      </x:c>
      <x:c r="F13" s="21" t="n">
        <x:v>3</x:v>
      </x:c>
      <x:c r="G13" s="21" t="str">
        <x:v>same-cell invalid only</x:v>
      </x:c>
      <x:c r="H13" s="21" t="n">
        <x:v>250</x:v>
      </x:c>
      <x:c r="I13" s="21" t="n">
        <x:v>15</x:v>
      </x:c>
      <x:c r="J13" s="21" t="n">
        <x:v>20</x:v>
      </x:c>
      <x:c r="K13" s="21" t="n">
        <x:v>15</x:v>
      </x:c>
      <x:c r="L13" s="21" t="str">
        <x:v>OPEN</x:v>
      </x:c>
    </x:row>
    <x:row r="14">
      <x:c r="A14" s="21" t="str">
        <x:v>F1-R04</x:v>
      </x:c>
      <x:c r="B14" s="21" t="str">
        <x:v>F1</x:v>
      </x:c>
      <x:c r="C14" s="21" t="str">
        <x:v>AM-05</x:v>
      </x:c>
      <x:c r="D14" s="21" t="str">
        <x:v>TR-A</x:v>
      </x:c>
      <x:c r="E14" s="21" t="str">
        <x:v>OPERATIONAL RESERVE</x:v>
      </x:c>
      <x:c r="F14" s="21" t="n">
        <x:v>4</x:v>
      </x:c>
      <x:c r="G14" s="21" t="str">
        <x:v>same-cell invalid only</x:v>
      </x:c>
      <x:c r="H14" s="21" t="n">
        <x:v>250</x:v>
      </x:c>
      <x:c r="I14" s="21" t="n">
        <x:v>15</x:v>
      </x:c>
      <x:c r="J14" s="21" t="n">
        <x:v>20</x:v>
      </x:c>
      <x:c r="K14" s="21" t="n">
        <x:v>15</x:v>
      </x:c>
      <x:c r="L14" s="21" t="str">
        <x:v>OPEN</x:v>
      </x:c>
    </x:row>
    <x:row r="15">
      <x:c r="A15" s="21" t="str">
        <x:v>F1-R05</x:v>
      </x:c>
      <x:c r="B15" s="21" t="str">
        <x:v>F1</x:v>
      </x:c>
      <x:c r="C15" s="21" t="str">
        <x:v>AM-05</x:v>
      </x:c>
      <x:c r="D15" s="21" t="str">
        <x:v>TR-A</x:v>
      </x:c>
      <x:c r="E15" s="21" t="str">
        <x:v>OPERATIONAL RESERVE</x:v>
      </x:c>
      <x:c r="F15" s="21" t="n">
        <x:v>5</x:v>
      </x:c>
      <x:c r="G15" s="21" t="str">
        <x:v>same-cell invalid only</x:v>
      </x:c>
      <x:c r="H15" s="21" t="n">
        <x:v>250</x:v>
      </x:c>
      <x:c r="I15" s="21" t="n">
        <x:v>15</x:v>
      </x:c>
      <x:c r="J15" s="21" t="n">
        <x:v>20</x:v>
      </x:c>
      <x:c r="K15" s="21" t="n">
        <x:v>15</x:v>
      </x:c>
      <x:c r="L15" s="21" t="str">
        <x:v>OPEN</x:v>
      </x:c>
    </x:row>
    <x:row r="16">
      <x:c r="A16" s="21" t="str">
        <x:v>F1-R06</x:v>
      </x:c>
      <x:c r="B16" s="21" t="str">
        <x:v>F1</x:v>
      </x:c>
      <x:c r="C16" s="21" t="str">
        <x:v>AM-05</x:v>
      </x:c>
      <x:c r="D16" s="21" t="str">
        <x:v>TR-A</x:v>
      </x:c>
      <x:c r="E16" s="21" t="str">
        <x:v>OPERATIONAL RESERVE</x:v>
      </x:c>
      <x:c r="F16" s="21" t="n">
        <x:v>6</x:v>
      </x:c>
      <x:c r="G16" s="21" t="str">
        <x:v>same-cell invalid only</x:v>
      </x:c>
      <x:c r="H16" s="21" t="n">
        <x:v>250</x:v>
      </x:c>
      <x:c r="I16" s="21" t="n">
        <x:v>15</x:v>
      </x:c>
      <x:c r="J16" s="21" t="n">
        <x:v>20</x:v>
      </x:c>
      <x:c r="K16" s="21" t="n">
        <x:v>15</x:v>
      </x:c>
      <x:c r="L16" s="21" t="str">
        <x:v>OPEN</x:v>
      </x:c>
    </x:row>
    <x:row r="17">
      <x:c r="A17" s="21" t="str">
        <x:v>F1-R07</x:v>
      </x:c>
      <x:c r="B17" s="21" t="str">
        <x:v>F1</x:v>
      </x:c>
      <x:c r="C17" s="21" t="str">
        <x:v>AM-05</x:v>
      </x:c>
      <x:c r="D17" s="21" t="str">
        <x:v>TR-A</x:v>
      </x:c>
      <x:c r="E17" s="21" t="str">
        <x:v>OPERATIONAL RESERVE</x:v>
      </x:c>
      <x:c r="F17" s="21" t="n">
        <x:v>7</x:v>
      </x:c>
      <x:c r="G17" s="21" t="str">
        <x:v>same-cell invalid only</x:v>
      </x:c>
      <x:c r="H17" s="21" t="n">
        <x:v>250</x:v>
      </x:c>
      <x:c r="I17" s="21" t="n">
        <x:v>15</x:v>
      </x:c>
      <x:c r="J17" s="21" t="n">
        <x:v>20</x:v>
      </x:c>
      <x:c r="K17" s="21" t="n">
        <x:v>15</x:v>
      </x:c>
      <x:c r="L17" s="21" t="str">
        <x:v>OPEN</x:v>
      </x:c>
    </x:row>
    <x:row r="18">
      <x:c r="A18" s="21" t="str">
        <x:v>F1-F01</x:v>
      </x:c>
      <x:c r="B18" s="21" t="str">
        <x:v>F1</x:v>
      </x:c>
      <x:c r="C18" s="21" t="str">
        <x:v>AM-05</x:v>
      </x:c>
      <x:c r="D18" s="21" t="str">
        <x:v>TR-A</x:v>
      </x:c>
      <x:c r="E18" s="21" t="str">
        <x:v>FORENSIC REFERENCE</x:v>
      </x:c>
      <x:c r="F18" s="21" t="n">
        <x:v>1</x:v>
      </x:c>
      <x:c r="G18" s="21" t="str">
        <x:v>no event issue</x:v>
      </x:c>
      <x:c r="H18" s="21" t="n">
        <x:v>0</x:v>
      </x:c>
      <x:c r="I18" s="21" t="n">
        <x:v>0</x:v>
      </x:c>
      <x:c r="J18" s="21" t="n">
        <x:v>0</x:v>
      </x:c>
      <x:c r="K18" s="21" t="n">
        <x:v>300</x:v>
      </x:c>
      <x:c r="L18" s="21" t="str">
        <x:v>OPEN</x:v>
      </x:c>
    </x:row>
    <x:row r="19">
      <x:c r="A19" s="21" t="str">
        <x:v>F2-A01</x:v>
      </x:c>
      <x:c r="B19" s="21" t="str">
        <x:v>F2</x:v>
      </x:c>
      <x:c r="C19" s="21" t="str">
        <x:v>AM-05</x:v>
      </x:c>
      <x:c r="D19" s="21" t="str">
        <x:v>TR-B</x:v>
      </x:c>
      <x:c r="E19" s="21" t="str">
        <x:v>ACTIVE</x:v>
      </x:c>
      <x:c r="F19" s="21" t="n">
        <x:v>1</x:v>
      </x:c>
      <x:c r="G19" s="21" t="str">
        <x:v>RFP-A1</x:v>
      </x:c>
      <x:c r="H19" s="21" t="n">
        <x:v>250</x:v>
      </x:c>
      <x:c r="I19" s="21" t="n">
        <x:v>15</x:v>
      </x:c>
      <x:c r="J19" s="21" t="n">
        <x:v>20</x:v>
      </x:c>
      <x:c r="K19" s="21" t="n">
        <x:v>15</x:v>
      </x:c>
      <x:c r="L19" s="21" t="str">
        <x:v>OPEN</x:v>
      </x:c>
    </x:row>
    <x:row r="20">
      <x:c r="A20" s="21" t="str">
        <x:v>F2-A02</x:v>
      </x:c>
      <x:c r="B20" s="21" t="str">
        <x:v>F2</x:v>
      </x:c>
      <x:c r="C20" s="21" t="str">
        <x:v>AM-05</x:v>
      </x:c>
      <x:c r="D20" s="21" t="str">
        <x:v>TR-B</x:v>
      </x:c>
      <x:c r="E20" s="21" t="str">
        <x:v>ACTIVE</x:v>
      </x:c>
      <x:c r="F20" s="21" t="n">
        <x:v>2</x:v>
      </x:c>
      <x:c r="G20" s="21" t="str">
        <x:v>RFP-A2</x:v>
      </x:c>
      <x:c r="H20" s="21" t="n">
        <x:v>250</x:v>
      </x:c>
      <x:c r="I20" s="21" t="n">
        <x:v>15</x:v>
      </x:c>
      <x:c r="J20" s="21" t="n">
        <x:v>20</x:v>
      </x:c>
      <x:c r="K20" s="21" t="n">
        <x:v>15</x:v>
      </x:c>
      <x:c r="L20" s="21" t="str">
        <x:v>OPEN</x:v>
      </x:c>
    </x:row>
    <x:row r="21">
      <x:c r="A21" s="21" t="str">
        <x:v>F2-A03</x:v>
      </x:c>
      <x:c r="B21" s="21" t="str">
        <x:v>F2</x:v>
      </x:c>
      <x:c r="C21" s="21" t="str">
        <x:v>AM-05</x:v>
      </x:c>
      <x:c r="D21" s="21" t="str">
        <x:v>TR-B</x:v>
      </x:c>
      <x:c r="E21" s="21" t="str">
        <x:v>ACTIVE</x:v>
      </x:c>
      <x:c r="F21" s="21" t="n">
        <x:v>3</x:v>
      </x:c>
      <x:c r="G21" s="21" t="str">
        <x:v>RFP-B1</x:v>
      </x:c>
      <x:c r="H21" s="21" t="n">
        <x:v>250</x:v>
      </x:c>
      <x:c r="I21" s="21" t="n">
        <x:v>15</x:v>
      </x:c>
      <x:c r="J21" s="21" t="n">
        <x:v>20</x:v>
      </x:c>
      <x:c r="K21" s="21" t="n">
        <x:v>15</x:v>
      </x:c>
      <x:c r="L21" s="21" t="str">
        <x:v>OPEN</x:v>
      </x:c>
    </x:row>
    <x:row r="22">
      <x:c r="A22" s="21" t="str">
        <x:v>F2-A04</x:v>
      </x:c>
      <x:c r="B22" s="21" t="str">
        <x:v>F2</x:v>
      </x:c>
      <x:c r="C22" s="21" t="str">
        <x:v>AM-05</x:v>
      </x:c>
      <x:c r="D22" s="21" t="str">
        <x:v>TR-B</x:v>
      </x:c>
      <x:c r="E22" s="21" t="str">
        <x:v>ACTIVE</x:v>
      </x:c>
      <x:c r="F22" s="21" t="n">
        <x:v>4</x:v>
      </x:c>
      <x:c r="G22" s="21" t="str">
        <x:v>RFP-B2</x:v>
      </x:c>
      <x:c r="H22" s="21" t="n">
        <x:v>250</x:v>
      </x:c>
      <x:c r="I22" s="21" t="n">
        <x:v>15</x:v>
      </x:c>
      <x:c r="J22" s="21" t="n">
        <x:v>20</x:v>
      </x:c>
      <x:c r="K22" s="21" t="n">
        <x:v>15</x:v>
      </x:c>
      <x:c r="L22" s="21" t="str">
        <x:v>OPEN</x:v>
      </x:c>
    </x:row>
    <x:row r="23">
      <x:c r="A23" s="21" t="str">
        <x:v>F2-A05</x:v>
      </x:c>
      <x:c r="B23" s="21" t="str">
        <x:v>F2</x:v>
      </x:c>
      <x:c r="C23" s="21" t="str">
        <x:v>AM-05</x:v>
      </x:c>
      <x:c r="D23" s="21" t="str">
        <x:v>TR-B</x:v>
      </x:c>
      <x:c r="E23" s="21" t="str">
        <x:v>ACTIVE</x:v>
      </x:c>
      <x:c r="F23" s="21" t="n">
        <x:v>5</x:v>
      </x:c>
      <x:c r="G23" s="21" t="str">
        <x:v>RFP-C1</x:v>
      </x:c>
      <x:c r="H23" s="21" t="n">
        <x:v>250</x:v>
      </x:c>
      <x:c r="I23" s="21" t="n">
        <x:v>15</x:v>
      </x:c>
      <x:c r="J23" s="21" t="n">
        <x:v>20</x:v>
      </x:c>
      <x:c r="K23" s="21" t="n">
        <x:v>15</x:v>
      </x:c>
      <x:c r="L23" s="21" t="str">
        <x:v>OPEN</x:v>
      </x:c>
    </x:row>
    <x:row r="24">
      <x:c r="A24" s="21" t="str">
        <x:v>F2-A06</x:v>
      </x:c>
      <x:c r="B24" s="21" t="str">
        <x:v>F2</x:v>
      </x:c>
      <x:c r="C24" s="21" t="str">
        <x:v>AM-05</x:v>
      </x:c>
      <x:c r="D24" s="21" t="str">
        <x:v>TR-B</x:v>
      </x:c>
      <x:c r="E24" s="21" t="str">
        <x:v>ACTIVE</x:v>
      </x:c>
      <x:c r="F24" s="21" t="n">
        <x:v>6</x:v>
      </x:c>
      <x:c r="G24" s="21" t="str">
        <x:v>RFP-C2</x:v>
      </x:c>
      <x:c r="H24" s="21" t="n">
        <x:v>250</x:v>
      </x:c>
      <x:c r="I24" s="21" t="n">
        <x:v>15</x:v>
      </x:c>
      <x:c r="J24" s="21" t="n">
        <x:v>20</x:v>
      </x:c>
      <x:c r="K24" s="21" t="n">
        <x:v>15</x:v>
      </x:c>
      <x:c r="L24" s="21" t="str">
        <x:v>OPEN</x:v>
      </x:c>
    </x:row>
    <x:row r="25">
      <x:c r="A25" s="21" t="str">
        <x:v>F2-R01</x:v>
      </x:c>
      <x:c r="B25" s="21" t="str">
        <x:v>F2</x:v>
      </x:c>
      <x:c r="C25" s="21" t="str">
        <x:v>AM-05</x:v>
      </x:c>
      <x:c r="D25" s="21" t="str">
        <x:v>TR-B</x:v>
      </x:c>
      <x:c r="E25" s="21" t="str">
        <x:v>OPERATIONAL RESERVE</x:v>
      </x:c>
      <x:c r="F25" s="21" t="n">
        <x:v>1</x:v>
      </x:c>
      <x:c r="G25" s="21" t="str">
        <x:v>same-cell invalid only</x:v>
      </x:c>
      <x:c r="H25" s="21" t="n">
        <x:v>250</x:v>
      </x:c>
      <x:c r="I25" s="21" t="n">
        <x:v>15</x:v>
      </x:c>
      <x:c r="J25" s="21" t="n">
        <x:v>20</x:v>
      </x:c>
      <x:c r="K25" s="21" t="n">
        <x:v>15</x:v>
      </x:c>
      <x:c r="L25" s="21" t="str">
        <x:v>OPEN</x:v>
      </x:c>
    </x:row>
    <x:row r="26">
      <x:c r="A26" s="21" t="str">
        <x:v>F2-R02</x:v>
      </x:c>
      <x:c r="B26" s="21" t="str">
        <x:v>F2</x:v>
      </x:c>
      <x:c r="C26" s="21" t="str">
        <x:v>AM-05</x:v>
      </x:c>
      <x:c r="D26" s="21" t="str">
        <x:v>TR-B</x:v>
      </x:c>
      <x:c r="E26" s="21" t="str">
        <x:v>OPERATIONAL RESERVE</x:v>
      </x:c>
      <x:c r="F26" s="21" t="n">
        <x:v>2</x:v>
      </x:c>
      <x:c r="G26" s="21" t="str">
        <x:v>same-cell invalid only</x:v>
      </x:c>
      <x:c r="H26" s="21" t="n">
        <x:v>250</x:v>
      </x:c>
      <x:c r="I26" s="21" t="n">
        <x:v>15</x:v>
      </x:c>
      <x:c r="J26" s="21" t="n">
        <x:v>20</x:v>
      </x:c>
      <x:c r="K26" s="21" t="n">
        <x:v>15</x:v>
      </x:c>
      <x:c r="L26" s="21" t="str">
        <x:v>OPEN</x:v>
      </x:c>
    </x:row>
    <x:row r="27">
      <x:c r="A27" s="21" t="str">
        <x:v>F2-R03</x:v>
      </x:c>
      <x:c r="B27" s="21" t="str">
        <x:v>F2</x:v>
      </x:c>
      <x:c r="C27" s="21" t="str">
        <x:v>AM-05</x:v>
      </x:c>
      <x:c r="D27" s="21" t="str">
        <x:v>TR-B</x:v>
      </x:c>
      <x:c r="E27" s="21" t="str">
        <x:v>OPERATIONAL RESERVE</x:v>
      </x:c>
      <x:c r="F27" s="21" t="n">
        <x:v>3</x:v>
      </x:c>
      <x:c r="G27" s="21" t="str">
        <x:v>same-cell invalid only</x:v>
      </x:c>
      <x:c r="H27" s="21" t="n">
        <x:v>250</x:v>
      </x:c>
      <x:c r="I27" s="21" t="n">
        <x:v>15</x:v>
      </x:c>
      <x:c r="J27" s="21" t="n">
        <x:v>20</x:v>
      </x:c>
      <x:c r="K27" s="21" t="n">
        <x:v>15</x:v>
      </x:c>
      <x:c r="L27" s="21" t="str">
        <x:v>OPEN</x:v>
      </x:c>
    </x:row>
    <x:row r="28">
      <x:c r="A28" s="21" t="str">
        <x:v>F2-R04</x:v>
      </x:c>
      <x:c r="B28" s="21" t="str">
        <x:v>F2</x:v>
      </x:c>
      <x:c r="C28" s="21" t="str">
        <x:v>AM-05</x:v>
      </x:c>
      <x:c r="D28" s="21" t="str">
        <x:v>TR-B</x:v>
      </x:c>
      <x:c r="E28" s="21" t="str">
        <x:v>OPERATIONAL RESERVE</x:v>
      </x:c>
      <x:c r="F28" s="21" t="n">
        <x:v>4</x:v>
      </x:c>
      <x:c r="G28" s="21" t="str">
        <x:v>same-cell invalid only</x:v>
      </x:c>
      <x:c r="H28" s="21" t="n">
        <x:v>250</x:v>
      </x:c>
      <x:c r="I28" s="21" t="n">
        <x:v>15</x:v>
      </x:c>
      <x:c r="J28" s="21" t="n">
        <x:v>20</x:v>
      </x:c>
      <x:c r="K28" s="21" t="n">
        <x:v>15</x:v>
      </x:c>
      <x:c r="L28" s="21" t="str">
        <x:v>OPEN</x:v>
      </x:c>
    </x:row>
    <x:row r="29">
      <x:c r="A29" s="21" t="str">
        <x:v>F2-R05</x:v>
      </x:c>
      <x:c r="B29" s="21" t="str">
        <x:v>F2</x:v>
      </x:c>
      <x:c r="C29" s="21" t="str">
        <x:v>AM-05</x:v>
      </x:c>
      <x:c r="D29" s="21" t="str">
        <x:v>TR-B</x:v>
      </x:c>
      <x:c r="E29" s="21" t="str">
        <x:v>OPERATIONAL RESERVE</x:v>
      </x:c>
      <x:c r="F29" s="21" t="n">
        <x:v>5</x:v>
      </x:c>
      <x:c r="G29" s="21" t="str">
        <x:v>same-cell invalid only</x:v>
      </x:c>
      <x:c r="H29" s="21" t="n">
        <x:v>250</x:v>
      </x:c>
      <x:c r="I29" s="21" t="n">
        <x:v>15</x:v>
      </x:c>
      <x:c r="J29" s="21" t="n">
        <x:v>20</x:v>
      </x:c>
      <x:c r="K29" s="21" t="n">
        <x:v>15</x:v>
      </x:c>
      <x:c r="L29" s="21" t="str">
        <x:v>OPEN</x:v>
      </x:c>
    </x:row>
    <x:row r="30">
      <x:c r="A30" s="21" t="str">
        <x:v>F2-R06</x:v>
      </x:c>
      <x:c r="B30" s="21" t="str">
        <x:v>F2</x:v>
      </x:c>
      <x:c r="C30" s="21" t="str">
        <x:v>AM-05</x:v>
      </x:c>
      <x:c r="D30" s="21" t="str">
        <x:v>TR-B</x:v>
      </x:c>
      <x:c r="E30" s="21" t="str">
        <x:v>OPERATIONAL RESERVE</x:v>
      </x:c>
      <x:c r="F30" s="21" t="n">
        <x:v>6</x:v>
      </x:c>
      <x:c r="G30" s="21" t="str">
        <x:v>same-cell invalid only</x:v>
      </x:c>
      <x:c r="H30" s="21" t="n">
        <x:v>250</x:v>
      </x:c>
      <x:c r="I30" s="21" t="n">
        <x:v>15</x:v>
      </x:c>
      <x:c r="J30" s="21" t="n">
        <x:v>20</x:v>
      </x:c>
      <x:c r="K30" s="21" t="n">
        <x:v>15</x:v>
      </x:c>
      <x:c r="L30" s="21" t="str">
        <x:v>OPEN</x:v>
      </x:c>
    </x:row>
    <x:row r="31">
      <x:c r="A31" s="21" t="str">
        <x:v>F2-R07</x:v>
      </x:c>
      <x:c r="B31" s="21" t="str">
        <x:v>F2</x:v>
      </x:c>
      <x:c r="C31" s="21" t="str">
        <x:v>AM-05</x:v>
      </x:c>
      <x:c r="D31" s="21" t="str">
        <x:v>TR-B</x:v>
      </x:c>
      <x:c r="E31" s="21" t="str">
        <x:v>OPERATIONAL RESERVE</x:v>
      </x:c>
      <x:c r="F31" s="21" t="n">
        <x:v>7</x:v>
      </x:c>
      <x:c r="G31" s="21" t="str">
        <x:v>same-cell invalid only</x:v>
      </x:c>
      <x:c r="H31" s="21" t="n">
        <x:v>250</x:v>
      </x:c>
      <x:c r="I31" s="21" t="n">
        <x:v>15</x:v>
      </x:c>
      <x:c r="J31" s="21" t="n">
        <x:v>20</x:v>
      </x:c>
      <x:c r="K31" s="21" t="n">
        <x:v>15</x:v>
      </x:c>
      <x:c r="L31" s="21" t="str">
        <x:v>OPEN</x:v>
      </x:c>
    </x:row>
    <x:row r="32">
      <x:c r="A32" s="21" t="str">
        <x:v>F2-F01</x:v>
      </x:c>
      <x:c r="B32" s="21" t="str">
        <x:v>F2</x:v>
      </x:c>
      <x:c r="C32" s="21" t="str">
        <x:v>AM-05</x:v>
      </x:c>
      <x:c r="D32" s="21" t="str">
        <x:v>TR-B</x:v>
      </x:c>
      <x:c r="E32" s="21" t="str">
        <x:v>FORENSIC REFERENCE</x:v>
      </x:c>
      <x:c r="F32" s="21" t="n">
        <x:v>1</x:v>
      </x:c>
      <x:c r="G32" s="21" t="str">
        <x:v>no event issue</x:v>
      </x:c>
      <x:c r="H32" s="21" t="n">
        <x:v>0</x:v>
      </x:c>
      <x:c r="I32" s="21" t="n">
        <x:v>0</x:v>
      </x:c>
      <x:c r="J32" s="21" t="n">
        <x:v>0</x:v>
      </x:c>
      <x:c r="K32" s="21" t="n">
        <x:v>300</x:v>
      </x:c>
      <x:c r="L32" s="21" t="str">
        <x:v>OPEN</x:v>
      </x:c>
    </x:row>
  </x:sheetData>
  <x:conditionalFormatting sqref="L5:L32">
    <x:cfRule type="containsText" dxfId="24" priority="1" operator="containsText" text="PASS"/>
    <x:cfRule type="containsText" dxfId="25" priority="2" operator="containsText" text="ACCEPTED"/>
    <x:cfRule type="containsText" dxfId="26" priority="3" operator="containsText" text="OPEN"/>
    <x:cfRule type="containsText" dxfId="27" priority="4" operator="containsText" text="BLOCKED"/>
    <x:cfRule type="containsText" dxfId="28" priority="5" operator="containsText" text="FAIL"/>
    <x:cfRule type="containsText" dxfId="29" priority="6" operator="containsText" text="STOP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2" hidden="0" customWidth="1"/>
    <x:col min="4" max="4" width="12" hidden="0" customWidth="1"/>
    <x:col min="5" max="5" width="29" hidden="0" customWidth="1"/>
    <x:col min="6" max="6" width="17" hidden="0" customWidth="1"/>
    <x:col min="7" max="7" width="17" hidden="0" customWidth="1"/>
    <x:col min="8" max="8" width="15" hidden="0" customWidth="1"/>
    <x:col min="9" max="9" width="27" hidden="0" customWidth="1"/>
  </x:cols>
  <x:sheetData>
    <x:row r="1" ht="28" customHeight="1">
      <x:c r="A1" s="17" t="str">
        <x:v>Package characteristics</x:v>
      </x:c>
      <x:c r="B1" s="17"/>
      <x:c r="C1" s="17"/>
      <x:c r="D1" s="17"/>
      <x:c r="E1" s="17"/>
      <x:c r="F1" s="17"/>
      <x:c r="G1" s="17"/>
      <x:c r="H1" s="17"/>
      <x:c r="I1" s="17"/>
    </x:row>
    <x:row r="2" ht="34" customHeight="1">
      <x:c r="A2" s="18" t="str">
        <x:v>Twelve current physical characteristics are required for every package. Observations remain blank.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</x:row>
    <x:row r="4">
      <x:c r="A4" s="20" t="str">
        <x:v>Record</x:v>
      </x:c>
      <x:c r="B4" s="20" t="str">
        <x:v>Package</x:v>
      </x:c>
      <x:c r="C4" s="20" t="str">
        <x:v>Family</x:v>
      </x:c>
      <x:c r="D4" s="20" t="str">
        <x:v>Root</x:v>
      </x:c>
      <x:c r="E4" s="20" t="str">
        <x:v>Characteristic</x:v>
      </x:c>
      <x:c r="F4" s="20" t="str">
        <x:v>Observed</x:v>
      </x:c>
      <x:c r="G4" s="20" t="str">
        <x:v>Unit</x:v>
      </x:c>
      <x:c r="H4" s="20" t="str">
        <x:v>State</x:v>
      </x:c>
      <x:c r="I4" s="20" t="str">
        <x:v>Evidence root</x:v>
      </x:c>
    </x:row>
    <x:row r="5">
      <x:c r="A5" s="21" t="str">
        <x:v>F1-A01-C01</x:v>
      </x:c>
      <x:c r="B5" s="21" t="str">
        <x:v>F1-A01</x:v>
      </x:c>
      <x:c r="C5" s="21" t="str">
        <x:v>F1</x:v>
      </x:c>
      <x:c r="D5" s="21" t="str">
        <x:v>TR-A</x:v>
      </x:c>
      <x:c r="E5" s="21" t="str">
        <x:v>gross mass</x:v>
      </x:c>
      <x:c r="F5" s="21" t="str"/>
      <x:c r="G5" s="21" t="str"/>
      <x:c r="H5" s="21" t="str">
        <x:v>OPEN</x:v>
      </x:c>
      <x:c r="I5" s="21" t="str"/>
    </x:row>
    <x:row r="6">
      <x:c r="A6" s="21" t="str">
        <x:v>F1-A01-C02</x:v>
      </x:c>
      <x:c r="B6" s="21" t="str">
        <x:v>F1-A01</x:v>
      </x:c>
      <x:c r="C6" s="21" t="str">
        <x:v>F1</x:v>
      </x:c>
      <x:c r="D6" s="21" t="str">
        <x:v>TR-A</x:v>
      </x:c>
      <x:c r="E6" s="21" t="str">
        <x:v>event mass</x:v>
      </x:c>
      <x:c r="F6" s="21" t="str"/>
      <x:c r="G6" s="21" t="str"/>
      <x:c r="H6" s="21" t="str">
        <x:v>OPEN</x:v>
      </x:c>
      <x:c r="I6" s="21" t="str"/>
    </x:row>
    <x:row r="7">
      <x:c r="A7" s="21" t="str">
        <x:v>F1-A01-C03</x:v>
      </x:c>
      <x:c r="B7" s="21" t="str">
        <x:v>F1-A01</x:v>
      </x:c>
      <x:c r="C7" s="21" t="str">
        <x:v>F1</x:v>
      </x:c>
      <x:c r="D7" s="21" t="str">
        <x:v>TR-A</x:v>
      </x:c>
      <x:c r="E7" s="21" t="str">
        <x:v>split masses</x:v>
      </x:c>
      <x:c r="F7" s="21" t="str"/>
      <x:c r="G7" s="21" t="str"/>
      <x:c r="H7" s="21" t="str">
        <x:v>OPEN</x:v>
      </x:c>
      <x:c r="I7" s="21" t="str"/>
    </x:row>
    <x:row r="8">
      <x:c r="A8" s="21" t="str">
        <x:v>F1-A01-C04</x:v>
      </x:c>
      <x:c r="B8" s="21" t="str">
        <x:v>F1-A01</x:v>
      </x:c>
      <x:c r="C8" s="21" t="str">
        <x:v>F1</x:v>
      </x:c>
      <x:c r="D8" s="21" t="str">
        <x:v>TR-A</x:v>
      </x:c>
      <x:c r="E8" s="21" t="str">
        <x:v>density</x:v>
      </x:c>
      <x:c r="F8" s="21" t="str"/>
      <x:c r="G8" s="21" t="str"/>
      <x:c r="H8" s="21" t="str">
        <x:v>OPEN</x:v>
      </x:c>
      <x:c r="I8" s="21" t="str"/>
    </x:row>
    <x:row r="9">
      <x:c r="A9" s="21" t="str">
        <x:v>F1-A01-C05</x:v>
      </x:c>
      <x:c r="B9" s="21" t="str">
        <x:v>F1-A01</x:v>
      </x:c>
      <x:c r="C9" s="21" t="str">
        <x:v>F1</x:v>
      </x:c>
      <x:c r="D9" s="21" t="str">
        <x:v>TR-A</x:v>
      </x:c>
      <x:c r="E9" s="21" t="str">
        <x:v>viscosity</x:v>
      </x:c>
      <x:c r="F9" s="21" t="str"/>
      <x:c r="G9" s="21" t="str"/>
      <x:c r="H9" s="21" t="str">
        <x:v>OPEN</x:v>
      </x:c>
      <x:c r="I9" s="21" t="str"/>
    </x:row>
    <x:row r="10">
      <x:c r="A10" s="21" t="str">
        <x:v>F1-A01-C06</x:v>
      </x:c>
      <x:c r="B10" s="21" t="str">
        <x:v>F1-A01</x:v>
      </x:c>
      <x:c r="C10" s="21" t="str">
        <x:v>F1</x:v>
      </x:c>
      <x:c r="D10" s="21" t="str">
        <x:v>TR-A</x:v>
      </x:c>
      <x:c r="E10" s="21" t="str">
        <x:v>surface tension</x:v>
      </x:c>
      <x:c r="F10" s="21" t="str"/>
      <x:c r="G10" s="21" t="str"/>
      <x:c r="H10" s="21" t="str">
        <x:v>OPEN</x:v>
      </x:c>
      <x:c r="I10" s="21" t="str"/>
    </x:row>
    <x:row r="11">
      <x:c r="A11" s="21" t="str">
        <x:v>F1-A01-C07</x:v>
      </x:c>
      <x:c r="B11" s="21" t="str">
        <x:v>F1-A01</x:v>
      </x:c>
      <x:c r="C11" s="21" t="str">
        <x:v>F1</x:v>
      </x:c>
      <x:c r="D11" s="21" t="str">
        <x:v>TR-A</x:v>
      </x:c>
      <x:c r="E11" s="21" t="str">
        <x:v>temperature</x:v>
      </x:c>
      <x:c r="F11" s="21" t="str"/>
      <x:c r="G11" s="21" t="str"/>
      <x:c r="H11" s="21" t="str">
        <x:v>OPEN</x:v>
      </x:c>
      <x:c r="I11" s="21" t="str"/>
    </x:row>
    <x:row r="12">
      <x:c r="A12" s="21" t="str">
        <x:v>F1-A01-C08</x:v>
      </x:c>
      <x:c r="B12" s="21" t="str">
        <x:v>F1-A01</x:v>
      </x:c>
      <x:c r="C12" s="21" t="str">
        <x:v>F1</x:v>
      </x:c>
      <x:c r="D12" s="21" t="str">
        <x:v>TR-A</x:v>
      </x:c>
      <x:c r="E12" s="21" t="str">
        <x:v>water fraction</x:v>
      </x:c>
      <x:c r="F12" s="21" t="str"/>
      <x:c r="G12" s="21" t="str"/>
      <x:c r="H12" s="21" t="str">
        <x:v>OPEN</x:v>
      </x:c>
      <x:c r="I12" s="21" t="str"/>
    </x:row>
    <x:row r="13">
      <x:c r="A13" s="21" t="str">
        <x:v>F1-A01-C09</x:v>
      </x:c>
      <x:c r="B13" s="21" t="str">
        <x:v>F1-A01</x:v>
      </x:c>
      <x:c r="C13" s="21" t="str">
        <x:v>F1</x:v>
      </x:c>
      <x:c r="D13" s="21" t="str">
        <x:v>TR-A</x:v>
      </x:c>
      <x:c r="E13" s="21" t="str">
        <x:v>foreign solids</x:v>
      </x:c>
      <x:c r="F13" s="21" t="str"/>
      <x:c r="G13" s="21" t="str"/>
      <x:c r="H13" s="21" t="str">
        <x:v>OPEN</x:v>
      </x:c>
      <x:c r="I13" s="21" t="str"/>
    </x:row>
    <x:row r="14">
      <x:c r="A14" s="21" t="str">
        <x:v>F1-A01-C10</x:v>
      </x:c>
      <x:c r="B14" s="21" t="str">
        <x:v>F1-A01</x:v>
      </x:c>
      <x:c r="C14" s="21" t="str">
        <x:v>F1</x:v>
      </x:c>
      <x:c r="D14" s="21" t="str">
        <x:v>TR-A</x:v>
      </x:c>
      <x:c r="E14" s="21" t="str">
        <x:v>ancestry recovery</x:v>
      </x:c>
      <x:c r="F14" s="21" t="str"/>
      <x:c r="G14" s="21" t="str"/>
      <x:c r="H14" s="21" t="str">
        <x:v>OPEN</x:v>
      </x:c>
      <x:c r="I14" s="21" t="str"/>
    </x:row>
    <x:row r="15">
      <x:c r="A15" s="21" t="str">
        <x:v>F1-A01-C11</x:v>
      </x:c>
      <x:c r="B15" s="21" t="str">
        <x:v>F1-A01</x:v>
      </x:c>
      <x:c r="C15" s="21" t="str">
        <x:v>F1</x:v>
      </x:c>
      <x:c r="D15" s="21" t="str">
        <x:v>TR-A</x:v>
      </x:c>
      <x:c r="E15" s="21" t="str">
        <x:v>custody seal</x:v>
      </x:c>
      <x:c r="F15" s="21" t="str"/>
      <x:c r="G15" s="21" t="str"/>
      <x:c r="H15" s="21" t="str">
        <x:v>OPEN</x:v>
      </x:c>
      <x:c r="I15" s="21" t="str"/>
    </x:row>
    <x:row r="16">
      <x:c r="A16" s="21" t="str">
        <x:v>F1-A01-C12</x:v>
      </x:c>
      <x:c r="B16" s="21" t="str">
        <x:v>F1-A01</x:v>
      </x:c>
      <x:c r="C16" s="21" t="str">
        <x:v>F1</x:v>
      </x:c>
      <x:c r="D16" s="21" t="str">
        <x:v>TR-A</x:v>
      </x:c>
      <x:c r="E16" s="21" t="str">
        <x:v>retained-sample identity</x:v>
      </x:c>
      <x:c r="F16" s="21" t="str"/>
      <x:c r="G16" s="21" t="str"/>
      <x:c r="H16" s="21" t="str">
        <x:v>OPEN</x:v>
      </x:c>
      <x:c r="I16" s="21" t="str"/>
    </x:row>
    <x:row r="17">
      <x:c r="A17" s="21" t="str">
        <x:v>F1-A02-C01</x:v>
      </x:c>
      <x:c r="B17" s="21" t="str">
        <x:v>F1-A02</x:v>
      </x:c>
      <x:c r="C17" s="21" t="str">
        <x:v>F1</x:v>
      </x:c>
      <x:c r="D17" s="21" t="str">
        <x:v>TR-A</x:v>
      </x:c>
      <x:c r="E17" s="21" t="str">
        <x:v>gross mass</x:v>
      </x:c>
      <x:c r="F17" s="21" t="str"/>
      <x:c r="G17" s="21" t="str"/>
      <x:c r="H17" s="21" t="str">
        <x:v>OPEN</x:v>
      </x:c>
      <x:c r="I17" s="21" t="str"/>
    </x:row>
    <x:row r="18">
      <x:c r="A18" s="21" t="str">
        <x:v>F1-A02-C02</x:v>
      </x:c>
      <x:c r="B18" s="21" t="str">
        <x:v>F1-A02</x:v>
      </x:c>
      <x:c r="C18" s="21" t="str">
        <x:v>F1</x:v>
      </x:c>
      <x:c r="D18" s="21" t="str">
        <x:v>TR-A</x:v>
      </x:c>
      <x:c r="E18" s="21" t="str">
        <x:v>event mass</x:v>
      </x:c>
      <x:c r="F18" s="21" t="str"/>
      <x:c r="G18" s="21" t="str"/>
      <x:c r="H18" s="21" t="str">
        <x:v>OPEN</x:v>
      </x:c>
      <x:c r="I18" s="21" t="str"/>
    </x:row>
    <x:row r="19">
      <x:c r="A19" s="21" t="str">
        <x:v>F1-A02-C03</x:v>
      </x:c>
      <x:c r="B19" s="21" t="str">
        <x:v>F1-A02</x:v>
      </x:c>
      <x:c r="C19" s="21" t="str">
        <x:v>F1</x:v>
      </x:c>
      <x:c r="D19" s="21" t="str">
        <x:v>TR-A</x:v>
      </x:c>
      <x:c r="E19" s="21" t="str">
        <x:v>split masses</x:v>
      </x:c>
      <x:c r="F19" s="21" t="str"/>
      <x:c r="G19" s="21" t="str"/>
      <x:c r="H19" s="21" t="str">
        <x:v>OPEN</x:v>
      </x:c>
      <x:c r="I19" s="21" t="str"/>
    </x:row>
    <x:row r="20">
      <x:c r="A20" s="21" t="str">
        <x:v>F1-A02-C04</x:v>
      </x:c>
      <x:c r="B20" s="21" t="str">
        <x:v>F1-A02</x:v>
      </x:c>
      <x:c r="C20" s="21" t="str">
        <x:v>F1</x:v>
      </x:c>
      <x:c r="D20" s="21" t="str">
        <x:v>TR-A</x:v>
      </x:c>
      <x:c r="E20" s="21" t="str">
        <x:v>density</x:v>
      </x:c>
      <x:c r="F20" s="21" t="str"/>
      <x:c r="G20" s="21" t="str"/>
      <x:c r="H20" s="21" t="str">
        <x:v>OPEN</x:v>
      </x:c>
      <x:c r="I20" s="21" t="str"/>
    </x:row>
    <x:row r="21">
      <x:c r="A21" s="21" t="str">
        <x:v>F1-A02-C05</x:v>
      </x:c>
      <x:c r="B21" s="21" t="str">
        <x:v>F1-A02</x:v>
      </x:c>
      <x:c r="C21" s="21" t="str">
        <x:v>F1</x:v>
      </x:c>
      <x:c r="D21" s="21" t="str">
        <x:v>TR-A</x:v>
      </x:c>
      <x:c r="E21" s="21" t="str">
        <x:v>viscosity</x:v>
      </x:c>
      <x:c r="F21" s="21" t="str"/>
      <x:c r="G21" s="21" t="str"/>
      <x:c r="H21" s="21" t="str">
        <x:v>OPEN</x:v>
      </x:c>
      <x:c r="I21" s="21" t="str"/>
    </x:row>
    <x:row r="22">
      <x:c r="A22" s="21" t="str">
        <x:v>F1-A02-C06</x:v>
      </x:c>
      <x:c r="B22" s="21" t="str">
        <x:v>F1-A02</x:v>
      </x:c>
      <x:c r="C22" s="21" t="str">
        <x:v>F1</x:v>
      </x:c>
      <x:c r="D22" s="21" t="str">
        <x:v>TR-A</x:v>
      </x:c>
      <x:c r="E22" s="21" t="str">
        <x:v>surface tension</x:v>
      </x:c>
      <x:c r="F22" s="21" t="str"/>
      <x:c r="G22" s="21" t="str"/>
      <x:c r="H22" s="21" t="str">
        <x:v>OPEN</x:v>
      </x:c>
      <x:c r="I22" s="21" t="str"/>
    </x:row>
    <x:row r="23">
      <x:c r="A23" s="21" t="str">
        <x:v>F1-A02-C07</x:v>
      </x:c>
      <x:c r="B23" s="21" t="str">
        <x:v>F1-A02</x:v>
      </x:c>
      <x:c r="C23" s="21" t="str">
        <x:v>F1</x:v>
      </x:c>
      <x:c r="D23" s="21" t="str">
        <x:v>TR-A</x:v>
      </x:c>
      <x:c r="E23" s="21" t="str">
        <x:v>temperature</x:v>
      </x:c>
      <x:c r="F23" s="21" t="str"/>
      <x:c r="G23" s="21" t="str"/>
      <x:c r="H23" s="21" t="str">
        <x:v>OPEN</x:v>
      </x:c>
      <x:c r="I23" s="21" t="str"/>
    </x:row>
    <x:row r="24">
      <x:c r="A24" s="21" t="str">
        <x:v>F1-A02-C08</x:v>
      </x:c>
      <x:c r="B24" s="21" t="str">
        <x:v>F1-A02</x:v>
      </x:c>
      <x:c r="C24" s="21" t="str">
        <x:v>F1</x:v>
      </x:c>
      <x:c r="D24" s="21" t="str">
        <x:v>TR-A</x:v>
      </x:c>
      <x:c r="E24" s="21" t="str">
        <x:v>water fraction</x:v>
      </x:c>
      <x:c r="F24" s="21" t="str"/>
      <x:c r="G24" s="21" t="str"/>
      <x:c r="H24" s="21" t="str">
        <x:v>OPEN</x:v>
      </x:c>
      <x:c r="I24" s="21" t="str"/>
    </x:row>
    <x:row r="25">
      <x:c r="A25" s="21" t="str">
        <x:v>F1-A02-C09</x:v>
      </x:c>
      <x:c r="B25" s="21" t="str">
        <x:v>F1-A02</x:v>
      </x:c>
      <x:c r="C25" s="21" t="str">
        <x:v>F1</x:v>
      </x:c>
      <x:c r="D25" s="21" t="str">
        <x:v>TR-A</x:v>
      </x:c>
      <x:c r="E25" s="21" t="str">
        <x:v>foreign solids</x:v>
      </x:c>
      <x:c r="F25" s="21" t="str"/>
      <x:c r="G25" s="21" t="str"/>
      <x:c r="H25" s="21" t="str">
        <x:v>OPEN</x:v>
      </x:c>
      <x:c r="I25" s="21" t="str"/>
    </x:row>
    <x:row r="26">
      <x:c r="A26" s="21" t="str">
        <x:v>F1-A02-C10</x:v>
      </x:c>
      <x:c r="B26" s="21" t="str">
        <x:v>F1-A02</x:v>
      </x:c>
      <x:c r="C26" s="21" t="str">
        <x:v>F1</x:v>
      </x:c>
      <x:c r="D26" s="21" t="str">
        <x:v>TR-A</x:v>
      </x:c>
      <x:c r="E26" s="21" t="str">
        <x:v>ancestry recovery</x:v>
      </x:c>
      <x:c r="F26" s="21" t="str"/>
      <x:c r="G26" s="21" t="str"/>
      <x:c r="H26" s="21" t="str">
        <x:v>OPEN</x:v>
      </x:c>
      <x:c r="I26" s="21" t="str"/>
    </x:row>
    <x:row r="27">
      <x:c r="A27" s="21" t="str">
        <x:v>F1-A02-C11</x:v>
      </x:c>
      <x:c r="B27" s="21" t="str">
        <x:v>F1-A02</x:v>
      </x:c>
      <x:c r="C27" s="21" t="str">
        <x:v>F1</x:v>
      </x:c>
      <x:c r="D27" s="21" t="str">
        <x:v>TR-A</x:v>
      </x:c>
      <x:c r="E27" s="21" t="str">
        <x:v>custody seal</x:v>
      </x:c>
      <x:c r="F27" s="21" t="str"/>
      <x:c r="G27" s="21" t="str"/>
      <x:c r="H27" s="21" t="str">
        <x:v>OPEN</x:v>
      </x:c>
      <x:c r="I27" s="21" t="str"/>
    </x:row>
    <x:row r="28">
      <x:c r="A28" s="21" t="str">
        <x:v>F1-A02-C12</x:v>
      </x:c>
      <x:c r="B28" s="21" t="str">
        <x:v>F1-A02</x:v>
      </x:c>
      <x:c r="C28" s="21" t="str">
        <x:v>F1</x:v>
      </x:c>
      <x:c r="D28" s="21" t="str">
        <x:v>TR-A</x:v>
      </x:c>
      <x:c r="E28" s="21" t="str">
        <x:v>retained-sample identity</x:v>
      </x:c>
      <x:c r="F28" s="21" t="str"/>
      <x:c r="G28" s="21" t="str"/>
      <x:c r="H28" s="21" t="str">
        <x:v>OPEN</x:v>
      </x:c>
      <x:c r="I28" s="21" t="str"/>
    </x:row>
    <x:row r="29">
      <x:c r="A29" s="21" t="str">
        <x:v>F1-A03-C01</x:v>
      </x:c>
      <x:c r="B29" s="21" t="str">
        <x:v>F1-A03</x:v>
      </x:c>
      <x:c r="C29" s="21" t="str">
        <x:v>F1</x:v>
      </x:c>
      <x:c r="D29" s="21" t="str">
        <x:v>TR-A</x:v>
      </x:c>
      <x:c r="E29" s="21" t="str">
        <x:v>gross mass</x:v>
      </x:c>
      <x:c r="F29" s="21" t="str"/>
      <x:c r="G29" s="21" t="str"/>
      <x:c r="H29" s="21" t="str">
        <x:v>OPEN</x:v>
      </x:c>
      <x:c r="I29" s="21" t="str"/>
    </x:row>
    <x:row r="30">
      <x:c r="A30" s="21" t="str">
        <x:v>F1-A03-C02</x:v>
      </x:c>
      <x:c r="B30" s="21" t="str">
        <x:v>F1-A03</x:v>
      </x:c>
      <x:c r="C30" s="21" t="str">
        <x:v>F1</x:v>
      </x:c>
      <x:c r="D30" s="21" t="str">
        <x:v>TR-A</x:v>
      </x:c>
      <x:c r="E30" s="21" t="str">
        <x:v>event mass</x:v>
      </x:c>
      <x:c r="F30" s="21" t="str"/>
      <x:c r="G30" s="21" t="str"/>
      <x:c r="H30" s="21" t="str">
        <x:v>OPEN</x:v>
      </x:c>
      <x:c r="I30" s="21" t="str"/>
    </x:row>
    <x:row r="31">
      <x:c r="A31" s="21" t="str">
        <x:v>F1-A03-C03</x:v>
      </x:c>
      <x:c r="B31" s="21" t="str">
        <x:v>F1-A03</x:v>
      </x:c>
      <x:c r="C31" s="21" t="str">
        <x:v>F1</x:v>
      </x:c>
      <x:c r="D31" s="21" t="str">
        <x:v>TR-A</x:v>
      </x:c>
      <x:c r="E31" s="21" t="str">
        <x:v>split masses</x:v>
      </x:c>
      <x:c r="F31" s="21" t="str"/>
      <x:c r="G31" s="21" t="str"/>
      <x:c r="H31" s="21" t="str">
        <x:v>OPEN</x:v>
      </x:c>
      <x:c r="I31" s="21" t="str"/>
    </x:row>
    <x:row r="32">
      <x:c r="A32" s="21" t="str">
        <x:v>F1-A03-C04</x:v>
      </x:c>
      <x:c r="B32" s="21" t="str">
        <x:v>F1-A03</x:v>
      </x:c>
      <x:c r="C32" s="21" t="str">
        <x:v>F1</x:v>
      </x:c>
      <x:c r="D32" s="21" t="str">
        <x:v>TR-A</x:v>
      </x:c>
      <x:c r="E32" s="21" t="str">
        <x:v>density</x:v>
      </x:c>
      <x:c r="F32" s="21" t="str"/>
      <x:c r="G32" s="21" t="str"/>
      <x:c r="H32" s="21" t="str">
        <x:v>OPEN</x:v>
      </x:c>
      <x:c r="I32" s="21" t="str"/>
    </x:row>
    <x:row r="33">
      <x:c r="A33" s="21" t="str">
        <x:v>F1-A03-C05</x:v>
      </x:c>
      <x:c r="B33" s="21" t="str">
        <x:v>F1-A03</x:v>
      </x:c>
      <x:c r="C33" s="21" t="str">
        <x:v>F1</x:v>
      </x:c>
      <x:c r="D33" s="21" t="str">
        <x:v>TR-A</x:v>
      </x:c>
      <x:c r="E33" s="21" t="str">
        <x:v>viscosity</x:v>
      </x:c>
      <x:c r="F33" s="21" t="str"/>
      <x:c r="G33" s="21" t="str"/>
      <x:c r="H33" s="21" t="str">
        <x:v>OPEN</x:v>
      </x:c>
      <x:c r="I33" s="21" t="str"/>
    </x:row>
    <x:row r="34">
      <x:c r="A34" s="21" t="str">
        <x:v>F1-A03-C06</x:v>
      </x:c>
      <x:c r="B34" s="21" t="str">
        <x:v>F1-A03</x:v>
      </x:c>
      <x:c r="C34" s="21" t="str">
        <x:v>F1</x:v>
      </x:c>
      <x:c r="D34" s="21" t="str">
        <x:v>TR-A</x:v>
      </x:c>
      <x:c r="E34" s="21" t="str">
        <x:v>surface tension</x:v>
      </x:c>
      <x:c r="F34" s="21" t="str"/>
      <x:c r="G34" s="21" t="str"/>
      <x:c r="H34" s="21" t="str">
        <x:v>OPEN</x:v>
      </x:c>
      <x:c r="I34" s="21" t="str"/>
    </x:row>
    <x:row r="35">
      <x:c r="A35" s="21" t="str">
        <x:v>F1-A03-C07</x:v>
      </x:c>
      <x:c r="B35" s="21" t="str">
        <x:v>F1-A03</x:v>
      </x:c>
      <x:c r="C35" s="21" t="str">
        <x:v>F1</x:v>
      </x:c>
      <x:c r="D35" s="21" t="str">
        <x:v>TR-A</x:v>
      </x:c>
      <x:c r="E35" s="21" t="str">
        <x:v>temperature</x:v>
      </x:c>
      <x:c r="F35" s="21" t="str"/>
      <x:c r="G35" s="21" t="str"/>
      <x:c r="H35" s="21" t="str">
        <x:v>OPEN</x:v>
      </x:c>
      <x:c r="I35" s="21" t="str"/>
    </x:row>
    <x:row r="36">
      <x:c r="A36" s="21" t="str">
        <x:v>F1-A03-C08</x:v>
      </x:c>
      <x:c r="B36" s="21" t="str">
        <x:v>F1-A03</x:v>
      </x:c>
      <x:c r="C36" s="21" t="str">
        <x:v>F1</x:v>
      </x:c>
      <x:c r="D36" s="21" t="str">
        <x:v>TR-A</x:v>
      </x:c>
      <x:c r="E36" s="21" t="str">
        <x:v>water fraction</x:v>
      </x:c>
      <x:c r="F36" s="21" t="str"/>
      <x:c r="G36" s="21" t="str"/>
      <x:c r="H36" s="21" t="str">
        <x:v>OPEN</x:v>
      </x:c>
      <x:c r="I36" s="21" t="str"/>
    </x:row>
    <x:row r="37">
      <x:c r="A37" s="21" t="str">
        <x:v>F1-A03-C09</x:v>
      </x:c>
      <x:c r="B37" s="21" t="str">
        <x:v>F1-A03</x:v>
      </x:c>
      <x:c r="C37" s="21" t="str">
        <x:v>F1</x:v>
      </x:c>
      <x:c r="D37" s="21" t="str">
        <x:v>TR-A</x:v>
      </x:c>
      <x:c r="E37" s="21" t="str">
        <x:v>foreign solids</x:v>
      </x:c>
      <x:c r="F37" s="21" t="str"/>
      <x:c r="G37" s="21" t="str"/>
      <x:c r="H37" s="21" t="str">
        <x:v>OPEN</x:v>
      </x:c>
      <x:c r="I37" s="21" t="str"/>
    </x:row>
    <x:row r="38">
      <x:c r="A38" s="21" t="str">
        <x:v>F1-A03-C10</x:v>
      </x:c>
      <x:c r="B38" s="21" t="str">
        <x:v>F1-A03</x:v>
      </x:c>
      <x:c r="C38" s="21" t="str">
        <x:v>F1</x:v>
      </x:c>
      <x:c r="D38" s="21" t="str">
        <x:v>TR-A</x:v>
      </x:c>
      <x:c r="E38" s="21" t="str">
        <x:v>ancestry recovery</x:v>
      </x:c>
      <x:c r="F38" s="21" t="str"/>
      <x:c r="G38" s="21" t="str"/>
      <x:c r="H38" s="21" t="str">
        <x:v>OPEN</x:v>
      </x:c>
      <x:c r="I38" s="21" t="str"/>
    </x:row>
    <x:row r="39">
      <x:c r="A39" s="21" t="str">
        <x:v>F1-A03-C11</x:v>
      </x:c>
      <x:c r="B39" s="21" t="str">
        <x:v>F1-A03</x:v>
      </x:c>
      <x:c r="C39" s="21" t="str">
        <x:v>F1</x:v>
      </x:c>
      <x:c r="D39" s="21" t="str">
        <x:v>TR-A</x:v>
      </x:c>
      <x:c r="E39" s="21" t="str">
        <x:v>custody seal</x:v>
      </x:c>
      <x:c r="F39" s="21" t="str"/>
      <x:c r="G39" s="21" t="str"/>
      <x:c r="H39" s="21" t="str">
        <x:v>OPEN</x:v>
      </x:c>
      <x:c r="I39" s="21" t="str"/>
    </x:row>
    <x:row r="40">
      <x:c r="A40" s="21" t="str">
        <x:v>F1-A03-C12</x:v>
      </x:c>
      <x:c r="B40" s="21" t="str">
        <x:v>F1-A03</x:v>
      </x:c>
      <x:c r="C40" s="21" t="str">
        <x:v>F1</x:v>
      </x:c>
      <x:c r="D40" s="21" t="str">
        <x:v>TR-A</x:v>
      </x:c>
      <x:c r="E40" s="21" t="str">
        <x:v>retained-sample identity</x:v>
      </x:c>
      <x:c r="F40" s="21" t="str"/>
      <x:c r="G40" s="21" t="str"/>
      <x:c r="H40" s="21" t="str">
        <x:v>OPEN</x:v>
      </x:c>
      <x:c r="I40" s="21" t="str"/>
    </x:row>
    <x:row r="41">
      <x:c r="A41" s="21" t="str">
        <x:v>F1-A04-C01</x:v>
      </x:c>
      <x:c r="B41" s="21" t="str">
        <x:v>F1-A04</x:v>
      </x:c>
      <x:c r="C41" s="21" t="str">
        <x:v>F1</x:v>
      </x:c>
      <x:c r="D41" s="21" t="str">
        <x:v>TR-A</x:v>
      </x:c>
      <x:c r="E41" s="21" t="str">
        <x:v>gross mass</x:v>
      </x:c>
      <x:c r="F41" s="21" t="str"/>
      <x:c r="G41" s="21" t="str"/>
      <x:c r="H41" s="21" t="str">
        <x:v>OPEN</x:v>
      </x:c>
      <x:c r="I41" s="21" t="str"/>
    </x:row>
    <x:row r="42">
      <x:c r="A42" s="21" t="str">
        <x:v>F1-A04-C02</x:v>
      </x:c>
      <x:c r="B42" s="21" t="str">
        <x:v>F1-A04</x:v>
      </x:c>
      <x:c r="C42" s="21" t="str">
        <x:v>F1</x:v>
      </x:c>
      <x:c r="D42" s="21" t="str">
        <x:v>TR-A</x:v>
      </x:c>
      <x:c r="E42" s="21" t="str">
        <x:v>event mass</x:v>
      </x:c>
      <x:c r="F42" s="21" t="str"/>
      <x:c r="G42" s="21" t="str"/>
      <x:c r="H42" s="21" t="str">
        <x:v>OPEN</x:v>
      </x:c>
      <x:c r="I42" s="21" t="str"/>
    </x:row>
    <x:row r="43">
      <x:c r="A43" s="21" t="str">
        <x:v>F1-A04-C03</x:v>
      </x:c>
      <x:c r="B43" s="21" t="str">
        <x:v>F1-A04</x:v>
      </x:c>
      <x:c r="C43" s="21" t="str">
        <x:v>F1</x:v>
      </x:c>
      <x:c r="D43" s="21" t="str">
        <x:v>TR-A</x:v>
      </x:c>
      <x:c r="E43" s="21" t="str">
        <x:v>split masses</x:v>
      </x:c>
      <x:c r="F43" s="21" t="str"/>
      <x:c r="G43" s="21" t="str"/>
      <x:c r="H43" s="21" t="str">
        <x:v>OPEN</x:v>
      </x:c>
      <x:c r="I43" s="21" t="str"/>
    </x:row>
    <x:row r="44">
      <x:c r="A44" s="21" t="str">
        <x:v>F1-A04-C04</x:v>
      </x:c>
      <x:c r="B44" s="21" t="str">
        <x:v>F1-A04</x:v>
      </x:c>
      <x:c r="C44" s="21" t="str">
        <x:v>F1</x:v>
      </x:c>
      <x:c r="D44" s="21" t="str">
        <x:v>TR-A</x:v>
      </x:c>
      <x:c r="E44" s="21" t="str">
        <x:v>density</x:v>
      </x:c>
      <x:c r="F44" s="21" t="str"/>
      <x:c r="G44" s="21" t="str"/>
      <x:c r="H44" s="21" t="str">
        <x:v>OPEN</x:v>
      </x:c>
      <x:c r="I44" s="21" t="str"/>
    </x:row>
    <x:row r="45">
      <x:c r="A45" s="21" t="str">
        <x:v>F1-A04-C05</x:v>
      </x:c>
      <x:c r="B45" s="21" t="str">
        <x:v>F1-A04</x:v>
      </x:c>
      <x:c r="C45" s="21" t="str">
        <x:v>F1</x:v>
      </x:c>
      <x:c r="D45" s="21" t="str">
        <x:v>TR-A</x:v>
      </x:c>
      <x:c r="E45" s="21" t="str">
        <x:v>viscosity</x:v>
      </x:c>
      <x:c r="F45" s="21" t="str"/>
      <x:c r="G45" s="21" t="str"/>
      <x:c r="H45" s="21" t="str">
        <x:v>OPEN</x:v>
      </x:c>
      <x:c r="I45" s="21" t="str"/>
    </x:row>
    <x:row r="46">
      <x:c r="A46" s="21" t="str">
        <x:v>F1-A04-C06</x:v>
      </x:c>
      <x:c r="B46" s="21" t="str">
        <x:v>F1-A04</x:v>
      </x:c>
      <x:c r="C46" s="21" t="str">
        <x:v>F1</x:v>
      </x:c>
      <x:c r="D46" s="21" t="str">
        <x:v>TR-A</x:v>
      </x:c>
      <x:c r="E46" s="21" t="str">
        <x:v>surface tension</x:v>
      </x:c>
      <x:c r="F46" s="21" t="str"/>
      <x:c r="G46" s="21" t="str"/>
      <x:c r="H46" s="21" t="str">
        <x:v>OPEN</x:v>
      </x:c>
      <x:c r="I46" s="21" t="str"/>
    </x:row>
    <x:row r="47">
      <x:c r="A47" s="21" t="str">
        <x:v>F1-A04-C07</x:v>
      </x:c>
      <x:c r="B47" s="21" t="str">
        <x:v>F1-A04</x:v>
      </x:c>
      <x:c r="C47" s="21" t="str">
        <x:v>F1</x:v>
      </x:c>
      <x:c r="D47" s="21" t="str">
        <x:v>TR-A</x:v>
      </x:c>
      <x:c r="E47" s="21" t="str">
        <x:v>temperature</x:v>
      </x:c>
      <x:c r="F47" s="21" t="str"/>
      <x:c r="G47" s="21" t="str"/>
      <x:c r="H47" s="21" t="str">
        <x:v>OPEN</x:v>
      </x:c>
      <x:c r="I47" s="21" t="str"/>
    </x:row>
    <x:row r="48">
      <x:c r="A48" s="21" t="str">
        <x:v>F1-A04-C08</x:v>
      </x:c>
      <x:c r="B48" s="21" t="str">
        <x:v>F1-A04</x:v>
      </x:c>
      <x:c r="C48" s="21" t="str">
        <x:v>F1</x:v>
      </x:c>
      <x:c r="D48" s="21" t="str">
        <x:v>TR-A</x:v>
      </x:c>
      <x:c r="E48" s="21" t="str">
        <x:v>water fraction</x:v>
      </x:c>
      <x:c r="F48" s="21" t="str"/>
      <x:c r="G48" s="21" t="str"/>
      <x:c r="H48" s="21" t="str">
        <x:v>OPEN</x:v>
      </x:c>
      <x:c r="I48" s="21" t="str"/>
    </x:row>
    <x:row r="49">
      <x:c r="A49" s="21" t="str">
        <x:v>F1-A04-C09</x:v>
      </x:c>
      <x:c r="B49" s="21" t="str">
        <x:v>F1-A04</x:v>
      </x:c>
      <x:c r="C49" s="21" t="str">
        <x:v>F1</x:v>
      </x:c>
      <x:c r="D49" s="21" t="str">
        <x:v>TR-A</x:v>
      </x:c>
      <x:c r="E49" s="21" t="str">
        <x:v>foreign solids</x:v>
      </x:c>
      <x:c r="F49" s="21" t="str"/>
      <x:c r="G49" s="21" t="str"/>
      <x:c r="H49" s="21" t="str">
        <x:v>OPEN</x:v>
      </x:c>
      <x:c r="I49" s="21" t="str"/>
    </x:row>
    <x:row r="50">
      <x:c r="A50" s="21" t="str">
        <x:v>F1-A04-C10</x:v>
      </x:c>
      <x:c r="B50" s="21" t="str">
        <x:v>F1-A04</x:v>
      </x:c>
      <x:c r="C50" s="21" t="str">
        <x:v>F1</x:v>
      </x:c>
      <x:c r="D50" s="21" t="str">
        <x:v>TR-A</x:v>
      </x:c>
      <x:c r="E50" s="21" t="str">
        <x:v>ancestry recovery</x:v>
      </x:c>
      <x:c r="F50" s="21" t="str"/>
      <x:c r="G50" s="21" t="str"/>
      <x:c r="H50" s="21" t="str">
        <x:v>OPEN</x:v>
      </x:c>
      <x:c r="I50" s="21" t="str"/>
    </x:row>
    <x:row r="51">
      <x:c r="A51" s="21" t="str">
        <x:v>F1-A04-C11</x:v>
      </x:c>
      <x:c r="B51" s="21" t="str">
        <x:v>F1-A04</x:v>
      </x:c>
      <x:c r="C51" s="21" t="str">
        <x:v>F1</x:v>
      </x:c>
      <x:c r="D51" s="21" t="str">
        <x:v>TR-A</x:v>
      </x:c>
      <x:c r="E51" s="21" t="str">
        <x:v>custody seal</x:v>
      </x:c>
      <x:c r="F51" s="21" t="str"/>
      <x:c r="G51" s="21" t="str"/>
      <x:c r="H51" s="21" t="str">
        <x:v>OPEN</x:v>
      </x:c>
      <x:c r="I51" s="21" t="str"/>
    </x:row>
    <x:row r="52">
      <x:c r="A52" s="21" t="str">
        <x:v>F1-A04-C12</x:v>
      </x:c>
      <x:c r="B52" s="21" t="str">
        <x:v>F1-A04</x:v>
      </x:c>
      <x:c r="C52" s="21" t="str">
        <x:v>F1</x:v>
      </x:c>
      <x:c r="D52" s="21" t="str">
        <x:v>TR-A</x:v>
      </x:c>
      <x:c r="E52" s="21" t="str">
        <x:v>retained-sample identity</x:v>
      </x:c>
      <x:c r="F52" s="21" t="str"/>
      <x:c r="G52" s="21" t="str"/>
      <x:c r="H52" s="21" t="str">
        <x:v>OPEN</x:v>
      </x:c>
      <x:c r="I52" s="21" t="str"/>
    </x:row>
    <x:row r="53">
      <x:c r="A53" s="21" t="str">
        <x:v>F1-A05-C01</x:v>
      </x:c>
      <x:c r="B53" s="21" t="str">
        <x:v>F1-A05</x:v>
      </x:c>
      <x:c r="C53" s="21" t="str">
        <x:v>F1</x:v>
      </x:c>
      <x:c r="D53" s="21" t="str">
        <x:v>TR-A</x:v>
      </x:c>
      <x:c r="E53" s="21" t="str">
        <x:v>gross mass</x:v>
      </x:c>
      <x:c r="F53" s="21" t="str"/>
      <x:c r="G53" s="21" t="str"/>
      <x:c r="H53" s="21" t="str">
        <x:v>OPEN</x:v>
      </x:c>
      <x:c r="I53" s="21" t="str"/>
    </x:row>
    <x:row r="54">
      <x:c r="A54" s="21" t="str">
        <x:v>F1-A05-C02</x:v>
      </x:c>
      <x:c r="B54" s="21" t="str">
        <x:v>F1-A05</x:v>
      </x:c>
      <x:c r="C54" s="21" t="str">
        <x:v>F1</x:v>
      </x:c>
      <x:c r="D54" s="21" t="str">
        <x:v>TR-A</x:v>
      </x:c>
      <x:c r="E54" s="21" t="str">
        <x:v>event mass</x:v>
      </x:c>
      <x:c r="F54" s="21" t="str"/>
      <x:c r="G54" s="21" t="str"/>
      <x:c r="H54" s="21" t="str">
        <x:v>OPEN</x:v>
      </x:c>
      <x:c r="I54" s="21" t="str"/>
    </x:row>
    <x:row r="55">
      <x:c r="A55" s="21" t="str">
        <x:v>F1-A05-C03</x:v>
      </x:c>
      <x:c r="B55" s="21" t="str">
        <x:v>F1-A05</x:v>
      </x:c>
      <x:c r="C55" s="21" t="str">
        <x:v>F1</x:v>
      </x:c>
      <x:c r="D55" s="21" t="str">
        <x:v>TR-A</x:v>
      </x:c>
      <x:c r="E55" s="21" t="str">
        <x:v>split masses</x:v>
      </x:c>
      <x:c r="F55" s="21" t="str"/>
      <x:c r="G55" s="21" t="str"/>
      <x:c r="H55" s="21" t="str">
        <x:v>OPEN</x:v>
      </x:c>
      <x:c r="I55" s="21" t="str"/>
    </x:row>
    <x:row r="56">
      <x:c r="A56" s="21" t="str">
        <x:v>F1-A05-C04</x:v>
      </x:c>
      <x:c r="B56" s="21" t="str">
        <x:v>F1-A05</x:v>
      </x:c>
      <x:c r="C56" s="21" t="str">
        <x:v>F1</x:v>
      </x:c>
      <x:c r="D56" s="21" t="str">
        <x:v>TR-A</x:v>
      </x:c>
      <x:c r="E56" s="21" t="str">
        <x:v>density</x:v>
      </x:c>
      <x:c r="F56" s="21" t="str"/>
      <x:c r="G56" s="21" t="str"/>
      <x:c r="H56" s="21" t="str">
        <x:v>OPEN</x:v>
      </x:c>
      <x:c r="I56" s="21" t="str"/>
    </x:row>
    <x:row r="57">
      <x:c r="A57" s="21" t="str">
        <x:v>F1-A05-C05</x:v>
      </x:c>
      <x:c r="B57" s="21" t="str">
        <x:v>F1-A05</x:v>
      </x:c>
      <x:c r="C57" s="21" t="str">
        <x:v>F1</x:v>
      </x:c>
      <x:c r="D57" s="21" t="str">
        <x:v>TR-A</x:v>
      </x:c>
      <x:c r="E57" s="21" t="str">
        <x:v>viscosity</x:v>
      </x:c>
      <x:c r="F57" s="21" t="str"/>
      <x:c r="G57" s="21" t="str"/>
      <x:c r="H57" s="21" t="str">
        <x:v>OPEN</x:v>
      </x:c>
      <x:c r="I57" s="21" t="str"/>
    </x:row>
    <x:row r="58">
      <x:c r="A58" s="21" t="str">
        <x:v>F1-A05-C06</x:v>
      </x:c>
      <x:c r="B58" s="21" t="str">
        <x:v>F1-A05</x:v>
      </x:c>
      <x:c r="C58" s="21" t="str">
        <x:v>F1</x:v>
      </x:c>
      <x:c r="D58" s="21" t="str">
        <x:v>TR-A</x:v>
      </x:c>
      <x:c r="E58" s="21" t="str">
        <x:v>surface tension</x:v>
      </x:c>
      <x:c r="F58" s="21" t="str"/>
      <x:c r="G58" s="21" t="str"/>
      <x:c r="H58" s="21" t="str">
        <x:v>OPEN</x:v>
      </x:c>
      <x:c r="I58" s="21" t="str"/>
    </x:row>
    <x:row r="59">
      <x:c r="A59" s="21" t="str">
        <x:v>F1-A05-C07</x:v>
      </x:c>
      <x:c r="B59" s="21" t="str">
        <x:v>F1-A05</x:v>
      </x:c>
      <x:c r="C59" s="21" t="str">
        <x:v>F1</x:v>
      </x:c>
      <x:c r="D59" s="21" t="str">
        <x:v>TR-A</x:v>
      </x:c>
      <x:c r="E59" s="21" t="str">
        <x:v>temperature</x:v>
      </x:c>
      <x:c r="F59" s="21" t="str"/>
      <x:c r="G59" s="21" t="str"/>
      <x:c r="H59" s="21" t="str">
        <x:v>OPEN</x:v>
      </x:c>
      <x:c r="I59" s="21" t="str"/>
    </x:row>
    <x:row r="60">
      <x:c r="A60" s="21" t="str">
        <x:v>F1-A05-C08</x:v>
      </x:c>
      <x:c r="B60" s="21" t="str">
        <x:v>F1-A05</x:v>
      </x:c>
      <x:c r="C60" s="21" t="str">
        <x:v>F1</x:v>
      </x:c>
      <x:c r="D60" s="21" t="str">
        <x:v>TR-A</x:v>
      </x:c>
      <x:c r="E60" s="21" t="str">
        <x:v>water fraction</x:v>
      </x:c>
      <x:c r="F60" s="21" t="str"/>
      <x:c r="G60" s="21" t="str"/>
      <x:c r="H60" s="21" t="str">
        <x:v>OPEN</x:v>
      </x:c>
      <x:c r="I60" s="21" t="str"/>
    </x:row>
    <x:row r="61">
      <x:c r="A61" s="21" t="str">
        <x:v>F1-A05-C09</x:v>
      </x:c>
      <x:c r="B61" s="21" t="str">
        <x:v>F1-A05</x:v>
      </x:c>
      <x:c r="C61" s="21" t="str">
        <x:v>F1</x:v>
      </x:c>
      <x:c r="D61" s="21" t="str">
        <x:v>TR-A</x:v>
      </x:c>
      <x:c r="E61" s="21" t="str">
        <x:v>foreign solids</x:v>
      </x:c>
      <x:c r="F61" s="21" t="str"/>
      <x:c r="G61" s="21" t="str"/>
      <x:c r="H61" s="21" t="str">
        <x:v>OPEN</x:v>
      </x:c>
      <x:c r="I61" s="21" t="str"/>
    </x:row>
    <x:row r="62">
      <x:c r="A62" s="21" t="str">
        <x:v>F1-A05-C10</x:v>
      </x:c>
      <x:c r="B62" s="21" t="str">
        <x:v>F1-A05</x:v>
      </x:c>
      <x:c r="C62" s="21" t="str">
        <x:v>F1</x:v>
      </x:c>
      <x:c r="D62" s="21" t="str">
        <x:v>TR-A</x:v>
      </x:c>
      <x:c r="E62" s="21" t="str">
        <x:v>ancestry recovery</x:v>
      </x:c>
      <x:c r="F62" s="21" t="str"/>
      <x:c r="G62" s="21" t="str"/>
      <x:c r="H62" s="21" t="str">
        <x:v>OPEN</x:v>
      </x:c>
      <x:c r="I62" s="21" t="str"/>
    </x:row>
    <x:row r="63">
      <x:c r="A63" s="21" t="str">
        <x:v>F1-A05-C11</x:v>
      </x:c>
      <x:c r="B63" s="21" t="str">
        <x:v>F1-A05</x:v>
      </x:c>
      <x:c r="C63" s="21" t="str">
        <x:v>F1</x:v>
      </x:c>
      <x:c r="D63" s="21" t="str">
        <x:v>TR-A</x:v>
      </x:c>
      <x:c r="E63" s="21" t="str">
        <x:v>custody seal</x:v>
      </x:c>
      <x:c r="F63" s="21" t="str"/>
      <x:c r="G63" s="21" t="str"/>
      <x:c r="H63" s="21" t="str">
        <x:v>OPEN</x:v>
      </x:c>
      <x:c r="I63" s="21" t="str"/>
    </x:row>
    <x:row r="64">
      <x:c r="A64" s="21" t="str">
        <x:v>F1-A05-C12</x:v>
      </x:c>
      <x:c r="B64" s="21" t="str">
        <x:v>F1-A05</x:v>
      </x:c>
      <x:c r="C64" s="21" t="str">
        <x:v>F1</x:v>
      </x:c>
      <x:c r="D64" s="21" t="str">
        <x:v>TR-A</x:v>
      </x:c>
      <x:c r="E64" s="21" t="str">
        <x:v>retained-sample identity</x:v>
      </x:c>
      <x:c r="F64" s="21" t="str"/>
      <x:c r="G64" s="21" t="str"/>
      <x:c r="H64" s="21" t="str">
        <x:v>OPEN</x:v>
      </x:c>
      <x:c r="I64" s="21" t="str"/>
    </x:row>
    <x:row r="65">
      <x:c r="A65" s="21" t="str">
        <x:v>F1-A06-C01</x:v>
      </x:c>
      <x:c r="B65" s="21" t="str">
        <x:v>F1-A06</x:v>
      </x:c>
      <x:c r="C65" s="21" t="str">
        <x:v>F1</x:v>
      </x:c>
      <x:c r="D65" s="21" t="str">
        <x:v>TR-A</x:v>
      </x:c>
      <x:c r="E65" s="21" t="str">
        <x:v>gross mass</x:v>
      </x:c>
      <x:c r="F65" s="21" t="str"/>
      <x:c r="G65" s="21" t="str"/>
      <x:c r="H65" s="21" t="str">
        <x:v>OPEN</x:v>
      </x:c>
      <x:c r="I65" s="21" t="str"/>
    </x:row>
    <x:row r="66">
      <x:c r="A66" s="21" t="str">
        <x:v>F1-A06-C02</x:v>
      </x:c>
      <x:c r="B66" s="21" t="str">
        <x:v>F1-A06</x:v>
      </x:c>
      <x:c r="C66" s="21" t="str">
        <x:v>F1</x:v>
      </x:c>
      <x:c r="D66" s="21" t="str">
        <x:v>TR-A</x:v>
      </x:c>
      <x:c r="E66" s="21" t="str">
        <x:v>event mass</x:v>
      </x:c>
      <x:c r="F66" s="21" t="str"/>
      <x:c r="G66" s="21" t="str"/>
      <x:c r="H66" s="21" t="str">
        <x:v>OPEN</x:v>
      </x:c>
      <x:c r="I66" s="21" t="str"/>
    </x:row>
    <x:row r="67">
      <x:c r="A67" s="21" t="str">
        <x:v>F1-A06-C03</x:v>
      </x:c>
      <x:c r="B67" s="21" t="str">
        <x:v>F1-A06</x:v>
      </x:c>
      <x:c r="C67" s="21" t="str">
        <x:v>F1</x:v>
      </x:c>
      <x:c r="D67" s="21" t="str">
        <x:v>TR-A</x:v>
      </x:c>
      <x:c r="E67" s="21" t="str">
        <x:v>split masses</x:v>
      </x:c>
      <x:c r="F67" s="21" t="str"/>
      <x:c r="G67" s="21" t="str"/>
      <x:c r="H67" s="21" t="str">
        <x:v>OPEN</x:v>
      </x:c>
      <x:c r="I67" s="21" t="str"/>
    </x:row>
    <x:row r="68">
      <x:c r="A68" s="21" t="str">
        <x:v>F1-A06-C04</x:v>
      </x:c>
      <x:c r="B68" s="21" t="str">
        <x:v>F1-A06</x:v>
      </x:c>
      <x:c r="C68" s="21" t="str">
        <x:v>F1</x:v>
      </x:c>
      <x:c r="D68" s="21" t="str">
        <x:v>TR-A</x:v>
      </x:c>
      <x:c r="E68" s="21" t="str">
        <x:v>density</x:v>
      </x:c>
      <x:c r="F68" s="21" t="str"/>
      <x:c r="G68" s="21" t="str"/>
      <x:c r="H68" s="21" t="str">
        <x:v>OPEN</x:v>
      </x:c>
      <x:c r="I68" s="21" t="str"/>
    </x:row>
    <x:row r="69">
      <x:c r="A69" s="21" t="str">
        <x:v>F1-A06-C05</x:v>
      </x:c>
      <x:c r="B69" s="21" t="str">
        <x:v>F1-A06</x:v>
      </x:c>
      <x:c r="C69" s="21" t="str">
        <x:v>F1</x:v>
      </x:c>
      <x:c r="D69" s="21" t="str">
        <x:v>TR-A</x:v>
      </x:c>
      <x:c r="E69" s="21" t="str">
        <x:v>viscosity</x:v>
      </x:c>
      <x:c r="F69" s="21" t="str"/>
      <x:c r="G69" s="21" t="str"/>
      <x:c r="H69" s="21" t="str">
        <x:v>OPEN</x:v>
      </x:c>
      <x:c r="I69" s="21" t="str"/>
    </x:row>
    <x:row r="70">
      <x:c r="A70" s="21" t="str">
        <x:v>F1-A06-C06</x:v>
      </x:c>
      <x:c r="B70" s="21" t="str">
        <x:v>F1-A06</x:v>
      </x:c>
      <x:c r="C70" s="21" t="str">
        <x:v>F1</x:v>
      </x:c>
      <x:c r="D70" s="21" t="str">
        <x:v>TR-A</x:v>
      </x:c>
      <x:c r="E70" s="21" t="str">
        <x:v>surface tension</x:v>
      </x:c>
      <x:c r="F70" s="21" t="str"/>
      <x:c r="G70" s="21" t="str"/>
      <x:c r="H70" s="21" t="str">
        <x:v>OPEN</x:v>
      </x:c>
      <x:c r="I70" s="21" t="str"/>
    </x:row>
    <x:row r="71">
      <x:c r="A71" s="21" t="str">
        <x:v>F1-A06-C07</x:v>
      </x:c>
      <x:c r="B71" s="21" t="str">
        <x:v>F1-A06</x:v>
      </x:c>
      <x:c r="C71" s="21" t="str">
        <x:v>F1</x:v>
      </x:c>
      <x:c r="D71" s="21" t="str">
        <x:v>TR-A</x:v>
      </x:c>
      <x:c r="E71" s="21" t="str">
        <x:v>temperature</x:v>
      </x:c>
      <x:c r="F71" s="21" t="str"/>
      <x:c r="G71" s="21" t="str"/>
      <x:c r="H71" s="21" t="str">
        <x:v>OPEN</x:v>
      </x:c>
      <x:c r="I71" s="21" t="str"/>
    </x:row>
    <x:row r="72">
      <x:c r="A72" s="21" t="str">
        <x:v>F1-A06-C08</x:v>
      </x:c>
      <x:c r="B72" s="21" t="str">
        <x:v>F1-A06</x:v>
      </x:c>
      <x:c r="C72" s="21" t="str">
        <x:v>F1</x:v>
      </x:c>
      <x:c r="D72" s="21" t="str">
        <x:v>TR-A</x:v>
      </x:c>
      <x:c r="E72" s="21" t="str">
        <x:v>water fraction</x:v>
      </x:c>
      <x:c r="F72" s="21" t="str"/>
      <x:c r="G72" s="21" t="str"/>
      <x:c r="H72" s="21" t="str">
        <x:v>OPEN</x:v>
      </x:c>
      <x:c r="I72" s="21" t="str"/>
    </x:row>
    <x:row r="73">
      <x:c r="A73" s="21" t="str">
        <x:v>F1-A06-C09</x:v>
      </x:c>
      <x:c r="B73" s="21" t="str">
        <x:v>F1-A06</x:v>
      </x:c>
      <x:c r="C73" s="21" t="str">
        <x:v>F1</x:v>
      </x:c>
      <x:c r="D73" s="21" t="str">
        <x:v>TR-A</x:v>
      </x:c>
      <x:c r="E73" s="21" t="str">
        <x:v>foreign solids</x:v>
      </x:c>
      <x:c r="F73" s="21" t="str"/>
      <x:c r="G73" s="21" t="str"/>
      <x:c r="H73" s="21" t="str">
        <x:v>OPEN</x:v>
      </x:c>
      <x:c r="I73" s="21" t="str"/>
    </x:row>
    <x:row r="74">
      <x:c r="A74" s="21" t="str">
        <x:v>F1-A06-C10</x:v>
      </x:c>
      <x:c r="B74" s="21" t="str">
        <x:v>F1-A06</x:v>
      </x:c>
      <x:c r="C74" s="21" t="str">
        <x:v>F1</x:v>
      </x:c>
      <x:c r="D74" s="21" t="str">
        <x:v>TR-A</x:v>
      </x:c>
      <x:c r="E74" s="21" t="str">
        <x:v>ancestry recovery</x:v>
      </x:c>
      <x:c r="F74" s="21" t="str"/>
      <x:c r="G74" s="21" t="str"/>
      <x:c r="H74" s="21" t="str">
        <x:v>OPEN</x:v>
      </x:c>
      <x:c r="I74" s="21" t="str"/>
    </x:row>
    <x:row r="75">
      <x:c r="A75" s="21" t="str">
        <x:v>F1-A06-C11</x:v>
      </x:c>
      <x:c r="B75" s="21" t="str">
        <x:v>F1-A06</x:v>
      </x:c>
      <x:c r="C75" s="21" t="str">
        <x:v>F1</x:v>
      </x:c>
      <x:c r="D75" s="21" t="str">
        <x:v>TR-A</x:v>
      </x:c>
      <x:c r="E75" s="21" t="str">
        <x:v>custody seal</x:v>
      </x:c>
      <x:c r="F75" s="21" t="str"/>
      <x:c r="G75" s="21" t="str"/>
      <x:c r="H75" s="21" t="str">
        <x:v>OPEN</x:v>
      </x:c>
      <x:c r="I75" s="21" t="str"/>
    </x:row>
    <x:row r="76">
      <x:c r="A76" s="21" t="str">
        <x:v>F1-A06-C12</x:v>
      </x:c>
      <x:c r="B76" s="21" t="str">
        <x:v>F1-A06</x:v>
      </x:c>
      <x:c r="C76" s="21" t="str">
        <x:v>F1</x:v>
      </x:c>
      <x:c r="D76" s="21" t="str">
        <x:v>TR-A</x:v>
      </x:c>
      <x:c r="E76" s="21" t="str">
        <x:v>retained-sample identity</x:v>
      </x:c>
      <x:c r="F76" s="21" t="str"/>
      <x:c r="G76" s="21" t="str"/>
      <x:c r="H76" s="21" t="str">
        <x:v>OPEN</x:v>
      </x:c>
      <x:c r="I76" s="21" t="str"/>
    </x:row>
    <x:row r="77">
      <x:c r="A77" s="21" t="str">
        <x:v>F1-R01-C01</x:v>
      </x:c>
      <x:c r="B77" s="21" t="str">
        <x:v>F1-R01</x:v>
      </x:c>
      <x:c r="C77" s="21" t="str">
        <x:v>F1</x:v>
      </x:c>
      <x:c r="D77" s="21" t="str">
        <x:v>TR-A</x:v>
      </x:c>
      <x:c r="E77" s="21" t="str">
        <x:v>gross mass</x:v>
      </x:c>
      <x:c r="F77" s="21" t="str"/>
      <x:c r="G77" s="21" t="str"/>
      <x:c r="H77" s="21" t="str">
        <x:v>OPEN</x:v>
      </x:c>
      <x:c r="I77" s="21" t="str"/>
    </x:row>
    <x:row r="78">
      <x:c r="A78" s="21" t="str">
        <x:v>F1-R01-C02</x:v>
      </x:c>
      <x:c r="B78" s="21" t="str">
        <x:v>F1-R01</x:v>
      </x:c>
      <x:c r="C78" s="21" t="str">
        <x:v>F1</x:v>
      </x:c>
      <x:c r="D78" s="21" t="str">
        <x:v>TR-A</x:v>
      </x:c>
      <x:c r="E78" s="21" t="str">
        <x:v>event mass</x:v>
      </x:c>
      <x:c r="F78" s="21" t="str"/>
      <x:c r="G78" s="21" t="str"/>
      <x:c r="H78" s="21" t="str">
        <x:v>OPEN</x:v>
      </x:c>
      <x:c r="I78" s="21" t="str"/>
    </x:row>
    <x:row r="79">
      <x:c r="A79" s="21" t="str">
        <x:v>F1-R01-C03</x:v>
      </x:c>
      <x:c r="B79" s="21" t="str">
        <x:v>F1-R01</x:v>
      </x:c>
      <x:c r="C79" s="21" t="str">
        <x:v>F1</x:v>
      </x:c>
      <x:c r="D79" s="21" t="str">
        <x:v>TR-A</x:v>
      </x:c>
      <x:c r="E79" s="21" t="str">
        <x:v>split masses</x:v>
      </x:c>
      <x:c r="F79" s="21" t="str"/>
      <x:c r="G79" s="21" t="str"/>
      <x:c r="H79" s="21" t="str">
        <x:v>OPEN</x:v>
      </x:c>
      <x:c r="I79" s="21" t="str"/>
    </x:row>
    <x:row r="80">
      <x:c r="A80" s="21" t="str">
        <x:v>F1-R01-C04</x:v>
      </x:c>
      <x:c r="B80" s="21" t="str">
        <x:v>F1-R01</x:v>
      </x:c>
      <x:c r="C80" s="21" t="str">
        <x:v>F1</x:v>
      </x:c>
      <x:c r="D80" s="21" t="str">
        <x:v>TR-A</x:v>
      </x:c>
      <x:c r="E80" s="21" t="str">
        <x:v>density</x:v>
      </x:c>
      <x:c r="F80" s="21" t="str"/>
      <x:c r="G80" s="21" t="str"/>
      <x:c r="H80" s="21" t="str">
        <x:v>OPEN</x:v>
      </x:c>
      <x:c r="I80" s="21" t="str"/>
    </x:row>
    <x:row r="81">
      <x:c r="A81" s="21" t="str">
        <x:v>F1-R01-C05</x:v>
      </x:c>
      <x:c r="B81" s="21" t="str">
        <x:v>F1-R01</x:v>
      </x:c>
      <x:c r="C81" s="21" t="str">
        <x:v>F1</x:v>
      </x:c>
      <x:c r="D81" s="21" t="str">
        <x:v>TR-A</x:v>
      </x:c>
      <x:c r="E81" s="21" t="str">
        <x:v>viscosity</x:v>
      </x:c>
      <x:c r="F81" s="21" t="str"/>
      <x:c r="G81" s="21" t="str"/>
      <x:c r="H81" s="21" t="str">
        <x:v>OPEN</x:v>
      </x:c>
      <x:c r="I81" s="21" t="str"/>
    </x:row>
    <x:row r="82">
      <x:c r="A82" s="21" t="str">
        <x:v>F1-R01-C06</x:v>
      </x:c>
      <x:c r="B82" s="21" t="str">
        <x:v>F1-R01</x:v>
      </x:c>
      <x:c r="C82" s="21" t="str">
        <x:v>F1</x:v>
      </x:c>
      <x:c r="D82" s="21" t="str">
        <x:v>TR-A</x:v>
      </x:c>
      <x:c r="E82" s="21" t="str">
        <x:v>surface tension</x:v>
      </x:c>
      <x:c r="F82" s="21" t="str"/>
      <x:c r="G82" s="21" t="str"/>
      <x:c r="H82" s="21" t="str">
        <x:v>OPEN</x:v>
      </x:c>
      <x:c r="I82" s="21" t="str"/>
    </x:row>
    <x:row r="83">
      <x:c r="A83" s="21" t="str">
        <x:v>F1-R01-C07</x:v>
      </x:c>
      <x:c r="B83" s="21" t="str">
        <x:v>F1-R01</x:v>
      </x:c>
      <x:c r="C83" s="21" t="str">
        <x:v>F1</x:v>
      </x:c>
      <x:c r="D83" s="21" t="str">
        <x:v>TR-A</x:v>
      </x:c>
      <x:c r="E83" s="21" t="str">
        <x:v>temperature</x:v>
      </x:c>
      <x:c r="F83" s="21" t="str"/>
      <x:c r="G83" s="21" t="str"/>
      <x:c r="H83" s="21" t="str">
        <x:v>OPEN</x:v>
      </x:c>
      <x:c r="I83" s="21" t="str"/>
    </x:row>
    <x:row r="84">
      <x:c r="A84" s="21" t="str">
        <x:v>F1-R01-C08</x:v>
      </x:c>
      <x:c r="B84" s="21" t="str">
        <x:v>F1-R01</x:v>
      </x:c>
      <x:c r="C84" s="21" t="str">
        <x:v>F1</x:v>
      </x:c>
      <x:c r="D84" s="21" t="str">
        <x:v>TR-A</x:v>
      </x:c>
      <x:c r="E84" s="21" t="str">
        <x:v>water fraction</x:v>
      </x:c>
      <x:c r="F84" s="21" t="str"/>
      <x:c r="G84" s="21" t="str"/>
      <x:c r="H84" s="21" t="str">
        <x:v>OPEN</x:v>
      </x:c>
      <x:c r="I84" s="21" t="str"/>
    </x:row>
    <x:row r="85">
      <x:c r="A85" s="21" t="str">
        <x:v>F1-R01-C09</x:v>
      </x:c>
      <x:c r="B85" s="21" t="str">
        <x:v>F1-R01</x:v>
      </x:c>
      <x:c r="C85" s="21" t="str">
        <x:v>F1</x:v>
      </x:c>
      <x:c r="D85" s="21" t="str">
        <x:v>TR-A</x:v>
      </x:c>
      <x:c r="E85" s="21" t="str">
        <x:v>foreign solids</x:v>
      </x:c>
      <x:c r="F85" s="21" t="str"/>
      <x:c r="G85" s="21" t="str"/>
      <x:c r="H85" s="21" t="str">
        <x:v>OPEN</x:v>
      </x:c>
      <x:c r="I85" s="21" t="str"/>
    </x:row>
    <x:row r="86">
      <x:c r="A86" s="21" t="str">
        <x:v>F1-R01-C10</x:v>
      </x:c>
      <x:c r="B86" s="21" t="str">
        <x:v>F1-R01</x:v>
      </x:c>
      <x:c r="C86" s="21" t="str">
        <x:v>F1</x:v>
      </x:c>
      <x:c r="D86" s="21" t="str">
        <x:v>TR-A</x:v>
      </x:c>
      <x:c r="E86" s="21" t="str">
        <x:v>ancestry recovery</x:v>
      </x:c>
      <x:c r="F86" s="21" t="str"/>
      <x:c r="G86" s="21" t="str"/>
      <x:c r="H86" s="21" t="str">
        <x:v>OPEN</x:v>
      </x:c>
      <x:c r="I86" s="21" t="str"/>
    </x:row>
    <x:row r="87">
      <x:c r="A87" s="21" t="str">
        <x:v>F1-R01-C11</x:v>
      </x:c>
      <x:c r="B87" s="21" t="str">
        <x:v>F1-R01</x:v>
      </x:c>
      <x:c r="C87" s="21" t="str">
        <x:v>F1</x:v>
      </x:c>
      <x:c r="D87" s="21" t="str">
        <x:v>TR-A</x:v>
      </x:c>
      <x:c r="E87" s="21" t="str">
        <x:v>custody seal</x:v>
      </x:c>
      <x:c r="F87" s="21" t="str"/>
      <x:c r="G87" s="21" t="str"/>
      <x:c r="H87" s="21" t="str">
        <x:v>OPEN</x:v>
      </x:c>
      <x:c r="I87" s="21" t="str"/>
    </x:row>
    <x:row r="88">
      <x:c r="A88" s="21" t="str">
        <x:v>F1-R01-C12</x:v>
      </x:c>
      <x:c r="B88" s="21" t="str">
        <x:v>F1-R01</x:v>
      </x:c>
      <x:c r="C88" s="21" t="str">
        <x:v>F1</x:v>
      </x:c>
      <x:c r="D88" s="21" t="str">
        <x:v>TR-A</x:v>
      </x:c>
      <x:c r="E88" s="21" t="str">
        <x:v>retained-sample identity</x:v>
      </x:c>
      <x:c r="F88" s="21" t="str"/>
      <x:c r="G88" s="21" t="str"/>
      <x:c r="H88" s="21" t="str">
        <x:v>OPEN</x:v>
      </x:c>
      <x:c r="I88" s="21" t="str"/>
    </x:row>
    <x:row r="89">
      <x:c r="A89" s="21" t="str">
        <x:v>F1-R02-C01</x:v>
      </x:c>
      <x:c r="B89" s="21" t="str">
        <x:v>F1-R02</x:v>
      </x:c>
      <x:c r="C89" s="21" t="str">
        <x:v>F1</x:v>
      </x:c>
      <x:c r="D89" s="21" t="str">
        <x:v>TR-A</x:v>
      </x:c>
      <x:c r="E89" s="21" t="str">
        <x:v>gross mass</x:v>
      </x:c>
      <x:c r="F89" s="21" t="str"/>
      <x:c r="G89" s="21" t="str"/>
      <x:c r="H89" s="21" t="str">
        <x:v>OPEN</x:v>
      </x:c>
      <x:c r="I89" s="21" t="str"/>
    </x:row>
    <x:row r="90">
      <x:c r="A90" s="21" t="str">
        <x:v>F1-R02-C02</x:v>
      </x:c>
      <x:c r="B90" s="21" t="str">
        <x:v>F1-R02</x:v>
      </x:c>
      <x:c r="C90" s="21" t="str">
        <x:v>F1</x:v>
      </x:c>
      <x:c r="D90" s="21" t="str">
        <x:v>TR-A</x:v>
      </x:c>
      <x:c r="E90" s="21" t="str">
        <x:v>event mass</x:v>
      </x:c>
      <x:c r="F90" s="21" t="str"/>
      <x:c r="G90" s="21" t="str"/>
      <x:c r="H90" s="21" t="str">
        <x:v>OPEN</x:v>
      </x:c>
      <x:c r="I90" s="21" t="str"/>
    </x:row>
    <x:row r="91">
      <x:c r="A91" s="21" t="str">
        <x:v>F1-R02-C03</x:v>
      </x:c>
      <x:c r="B91" s="21" t="str">
        <x:v>F1-R02</x:v>
      </x:c>
      <x:c r="C91" s="21" t="str">
        <x:v>F1</x:v>
      </x:c>
      <x:c r="D91" s="21" t="str">
        <x:v>TR-A</x:v>
      </x:c>
      <x:c r="E91" s="21" t="str">
        <x:v>split masses</x:v>
      </x:c>
      <x:c r="F91" s="21" t="str"/>
      <x:c r="G91" s="21" t="str"/>
      <x:c r="H91" s="21" t="str">
        <x:v>OPEN</x:v>
      </x:c>
      <x:c r="I91" s="21" t="str"/>
    </x:row>
    <x:row r="92">
      <x:c r="A92" s="21" t="str">
        <x:v>F1-R02-C04</x:v>
      </x:c>
      <x:c r="B92" s="21" t="str">
        <x:v>F1-R02</x:v>
      </x:c>
      <x:c r="C92" s="21" t="str">
        <x:v>F1</x:v>
      </x:c>
      <x:c r="D92" s="21" t="str">
        <x:v>TR-A</x:v>
      </x:c>
      <x:c r="E92" s="21" t="str">
        <x:v>density</x:v>
      </x:c>
      <x:c r="F92" s="21" t="str"/>
      <x:c r="G92" s="21" t="str"/>
      <x:c r="H92" s="21" t="str">
        <x:v>OPEN</x:v>
      </x:c>
      <x:c r="I92" s="21" t="str"/>
    </x:row>
    <x:row r="93">
      <x:c r="A93" s="21" t="str">
        <x:v>F1-R02-C05</x:v>
      </x:c>
      <x:c r="B93" s="21" t="str">
        <x:v>F1-R02</x:v>
      </x:c>
      <x:c r="C93" s="21" t="str">
        <x:v>F1</x:v>
      </x:c>
      <x:c r="D93" s="21" t="str">
        <x:v>TR-A</x:v>
      </x:c>
      <x:c r="E93" s="21" t="str">
        <x:v>viscosity</x:v>
      </x:c>
      <x:c r="F93" s="21" t="str"/>
      <x:c r="G93" s="21" t="str"/>
      <x:c r="H93" s="21" t="str">
        <x:v>OPEN</x:v>
      </x:c>
      <x:c r="I93" s="21" t="str"/>
    </x:row>
    <x:row r="94">
      <x:c r="A94" s="21" t="str">
        <x:v>F1-R02-C06</x:v>
      </x:c>
      <x:c r="B94" s="21" t="str">
        <x:v>F1-R02</x:v>
      </x:c>
      <x:c r="C94" s="21" t="str">
        <x:v>F1</x:v>
      </x:c>
      <x:c r="D94" s="21" t="str">
        <x:v>TR-A</x:v>
      </x:c>
      <x:c r="E94" s="21" t="str">
        <x:v>surface tension</x:v>
      </x:c>
      <x:c r="F94" s="21" t="str"/>
      <x:c r="G94" s="21" t="str"/>
      <x:c r="H94" s="21" t="str">
        <x:v>OPEN</x:v>
      </x:c>
      <x:c r="I94" s="21" t="str"/>
    </x:row>
    <x:row r="95">
      <x:c r="A95" s="21" t="str">
        <x:v>F1-R02-C07</x:v>
      </x:c>
      <x:c r="B95" s="21" t="str">
        <x:v>F1-R02</x:v>
      </x:c>
      <x:c r="C95" s="21" t="str">
        <x:v>F1</x:v>
      </x:c>
      <x:c r="D95" s="21" t="str">
        <x:v>TR-A</x:v>
      </x:c>
      <x:c r="E95" s="21" t="str">
        <x:v>temperature</x:v>
      </x:c>
      <x:c r="F95" s="21" t="str"/>
      <x:c r="G95" s="21" t="str"/>
      <x:c r="H95" s="21" t="str">
        <x:v>OPEN</x:v>
      </x:c>
      <x:c r="I95" s="21" t="str"/>
    </x:row>
    <x:row r="96">
      <x:c r="A96" s="21" t="str">
        <x:v>F1-R02-C08</x:v>
      </x:c>
      <x:c r="B96" s="21" t="str">
        <x:v>F1-R02</x:v>
      </x:c>
      <x:c r="C96" s="21" t="str">
        <x:v>F1</x:v>
      </x:c>
      <x:c r="D96" s="21" t="str">
        <x:v>TR-A</x:v>
      </x:c>
      <x:c r="E96" s="21" t="str">
        <x:v>water fraction</x:v>
      </x:c>
      <x:c r="F96" s="21" t="str"/>
      <x:c r="G96" s="21" t="str"/>
      <x:c r="H96" s="21" t="str">
        <x:v>OPEN</x:v>
      </x:c>
      <x:c r="I96" s="21" t="str"/>
    </x:row>
    <x:row r="97">
      <x:c r="A97" s="21" t="str">
        <x:v>F1-R02-C09</x:v>
      </x:c>
      <x:c r="B97" s="21" t="str">
        <x:v>F1-R02</x:v>
      </x:c>
      <x:c r="C97" s="21" t="str">
        <x:v>F1</x:v>
      </x:c>
      <x:c r="D97" s="21" t="str">
        <x:v>TR-A</x:v>
      </x:c>
      <x:c r="E97" s="21" t="str">
        <x:v>foreign solids</x:v>
      </x:c>
      <x:c r="F97" s="21" t="str"/>
      <x:c r="G97" s="21" t="str"/>
      <x:c r="H97" s="21" t="str">
        <x:v>OPEN</x:v>
      </x:c>
      <x:c r="I97" s="21" t="str"/>
    </x:row>
    <x:row r="98">
      <x:c r="A98" s="21" t="str">
        <x:v>F1-R02-C10</x:v>
      </x:c>
      <x:c r="B98" s="21" t="str">
        <x:v>F1-R02</x:v>
      </x:c>
      <x:c r="C98" s="21" t="str">
        <x:v>F1</x:v>
      </x:c>
      <x:c r="D98" s="21" t="str">
        <x:v>TR-A</x:v>
      </x:c>
      <x:c r="E98" s="21" t="str">
        <x:v>ancestry recovery</x:v>
      </x:c>
      <x:c r="F98" s="21" t="str"/>
      <x:c r="G98" s="21" t="str"/>
      <x:c r="H98" s="21" t="str">
        <x:v>OPEN</x:v>
      </x:c>
      <x:c r="I98" s="21" t="str"/>
    </x:row>
    <x:row r="99">
      <x:c r="A99" s="21" t="str">
        <x:v>F1-R02-C11</x:v>
      </x:c>
      <x:c r="B99" s="21" t="str">
        <x:v>F1-R02</x:v>
      </x:c>
      <x:c r="C99" s="21" t="str">
        <x:v>F1</x:v>
      </x:c>
      <x:c r="D99" s="21" t="str">
        <x:v>TR-A</x:v>
      </x:c>
      <x:c r="E99" s="21" t="str">
        <x:v>custody seal</x:v>
      </x:c>
      <x:c r="F99" s="21" t="str"/>
      <x:c r="G99" s="21" t="str"/>
      <x:c r="H99" s="21" t="str">
        <x:v>OPEN</x:v>
      </x:c>
      <x:c r="I99" s="21" t="str"/>
    </x:row>
    <x:row r="100">
      <x:c r="A100" s="21" t="str">
        <x:v>F1-R02-C12</x:v>
      </x:c>
      <x:c r="B100" s="21" t="str">
        <x:v>F1-R02</x:v>
      </x:c>
      <x:c r="C100" s="21" t="str">
        <x:v>F1</x:v>
      </x:c>
      <x:c r="D100" s="21" t="str">
        <x:v>TR-A</x:v>
      </x:c>
      <x:c r="E100" s="21" t="str">
        <x:v>retained-sample identity</x:v>
      </x:c>
      <x:c r="F100" s="21" t="str"/>
      <x:c r="G100" s="21" t="str"/>
      <x:c r="H100" s="21" t="str">
        <x:v>OPEN</x:v>
      </x:c>
      <x:c r="I100" s="21" t="str"/>
    </x:row>
    <x:row r="101">
      <x:c r="A101" s="21" t="str">
        <x:v>F1-R03-C01</x:v>
      </x:c>
      <x:c r="B101" s="21" t="str">
        <x:v>F1-R03</x:v>
      </x:c>
      <x:c r="C101" s="21" t="str">
        <x:v>F1</x:v>
      </x:c>
      <x:c r="D101" s="21" t="str">
        <x:v>TR-A</x:v>
      </x:c>
      <x:c r="E101" s="21" t="str">
        <x:v>gross mass</x:v>
      </x:c>
      <x:c r="F101" s="21" t="str"/>
      <x:c r="G101" s="21" t="str"/>
      <x:c r="H101" s="21" t="str">
        <x:v>OPEN</x:v>
      </x:c>
      <x:c r="I101" s="21" t="str"/>
    </x:row>
    <x:row r="102">
      <x:c r="A102" s="21" t="str">
        <x:v>F1-R03-C02</x:v>
      </x:c>
      <x:c r="B102" s="21" t="str">
        <x:v>F1-R03</x:v>
      </x:c>
      <x:c r="C102" s="21" t="str">
        <x:v>F1</x:v>
      </x:c>
      <x:c r="D102" s="21" t="str">
        <x:v>TR-A</x:v>
      </x:c>
      <x:c r="E102" s="21" t="str">
        <x:v>event mass</x:v>
      </x:c>
      <x:c r="F102" s="21" t="str"/>
      <x:c r="G102" s="21" t="str"/>
      <x:c r="H102" s="21" t="str">
        <x:v>OPEN</x:v>
      </x:c>
      <x:c r="I102" s="21" t="str"/>
    </x:row>
    <x:row r="103">
      <x:c r="A103" s="21" t="str">
        <x:v>F1-R03-C03</x:v>
      </x:c>
      <x:c r="B103" s="21" t="str">
        <x:v>F1-R03</x:v>
      </x:c>
      <x:c r="C103" s="21" t="str">
        <x:v>F1</x:v>
      </x:c>
      <x:c r="D103" s="21" t="str">
        <x:v>TR-A</x:v>
      </x:c>
      <x:c r="E103" s="21" t="str">
        <x:v>split masses</x:v>
      </x:c>
      <x:c r="F103" s="21" t="str"/>
      <x:c r="G103" s="21" t="str"/>
      <x:c r="H103" s="21" t="str">
        <x:v>OPEN</x:v>
      </x:c>
      <x:c r="I103" s="21" t="str"/>
    </x:row>
    <x:row r="104">
      <x:c r="A104" s="21" t="str">
        <x:v>F1-R03-C04</x:v>
      </x:c>
      <x:c r="B104" s="21" t="str">
        <x:v>F1-R03</x:v>
      </x:c>
      <x:c r="C104" s="21" t="str">
        <x:v>F1</x:v>
      </x:c>
      <x:c r="D104" s="21" t="str">
        <x:v>TR-A</x:v>
      </x:c>
      <x:c r="E104" s="21" t="str">
        <x:v>density</x:v>
      </x:c>
      <x:c r="F104" s="21" t="str"/>
      <x:c r="G104" s="21" t="str"/>
      <x:c r="H104" s="21" t="str">
        <x:v>OPEN</x:v>
      </x:c>
      <x:c r="I104" s="21" t="str"/>
    </x:row>
    <x:row r="105">
      <x:c r="A105" s="21" t="str">
        <x:v>F1-R03-C05</x:v>
      </x:c>
      <x:c r="B105" s="21" t="str">
        <x:v>F1-R03</x:v>
      </x:c>
      <x:c r="C105" s="21" t="str">
        <x:v>F1</x:v>
      </x:c>
      <x:c r="D105" s="21" t="str">
        <x:v>TR-A</x:v>
      </x:c>
      <x:c r="E105" s="21" t="str">
        <x:v>viscosity</x:v>
      </x:c>
      <x:c r="F105" s="21" t="str"/>
      <x:c r="G105" s="21" t="str"/>
      <x:c r="H105" s="21" t="str">
        <x:v>OPEN</x:v>
      </x:c>
      <x:c r="I105" s="21" t="str"/>
    </x:row>
    <x:row r="106">
      <x:c r="A106" s="21" t="str">
        <x:v>F1-R03-C06</x:v>
      </x:c>
      <x:c r="B106" s="21" t="str">
        <x:v>F1-R03</x:v>
      </x:c>
      <x:c r="C106" s="21" t="str">
        <x:v>F1</x:v>
      </x:c>
      <x:c r="D106" s="21" t="str">
        <x:v>TR-A</x:v>
      </x:c>
      <x:c r="E106" s="21" t="str">
        <x:v>surface tension</x:v>
      </x:c>
      <x:c r="F106" s="21" t="str"/>
      <x:c r="G106" s="21" t="str"/>
      <x:c r="H106" s="21" t="str">
        <x:v>OPEN</x:v>
      </x:c>
      <x:c r="I106" s="21" t="str"/>
    </x:row>
    <x:row r="107">
      <x:c r="A107" s="21" t="str">
        <x:v>F1-R03-C07</x:v>
      </x:c>
      <x:c r="B107" s="21" t="str">
        <x:v>F1-R03</x:v>
      </x:c>
      <x:c r="C107" s="21" t="str">
        <x:v>F1</x:v>
      </x:c>
      <x:c r="D107" s="21" t="str">
        <x:v>TR-A</x:v>
      </x:c>
      <x:c r="E107" s="21" t="str">
        <x:v>temperature</x:v>
      </x:c>
      <x:c r="F107" s="21" t="str"/>
      <x:c r="G107" s="21" t="str"/>
      <x:c r="H107" s="21" t="str">
        <x:v>OPEN</x:v>
      </x:c>
      <x:c r="I107" s="21" t="str"/>
    </x:row>
    <x:row r="108">
      <x:c r="A108" s="21" t="str">
        <x:v>F1-R03-C08</x:v>
      </x:c>
      <x:c r="B108" s="21" t="str">
        <x:v>F1-R03</x:v>
      </x:c>
      <x:c r="C108" s="21" t="str">
        <x:v>F1</x:v>
      </x:c>
      <x:c r="D108" s="21" t="str">
        <x:v>TR-A</x:v>
      </x:c>
      <x:c r="E108" s="21" t="str">
        <x:v>water fraction</x:v>
      </x:c>
      <x:c r="F108" s="21" t="str"/>
      <x:c r="G108" s="21" t="str"/>
      <x:c r="H108" s="21" t="str">
        <x:v>OPEN</x:v>
      </x:c>
      <x:c r="I108" s="21" t="str"/>
    </x:row>
    <x:row r="109">
      <x:c r="A109" s="21" t="str">
        <x:v>F1-R03-C09</x:v>
      </x:c>
      <x:c r="B109" s="21" t="str">
        <x:v>F1-R03</x:v>
      </x:c>
      <x:c r="C109" s="21" t="str">
        <x:v>F1</x:v>
      </x:c>
      <x:c r="D109" s="21" t="str">
        <x:v>TR-A</x:v>
      </x:c>
      <x:c r="E109" s="21" t="str">
        <x:v>foreign solids</x:v>
      </x:c>
      <x:c r="F109" s="21" t="str"/>
      <x:c r="G109" s="21" t="str"/>
      <x:c r="H109" s="21" t="str">
        <x:v>OPEN</x:v>
      </x:c>
      <x:c r="I109" s="21" t="str"/>
    </x:row>
    <x:row r="110">
      <x:c r="A110" s="21" t="str">
        <x:v>F1-R03-C10</x:v>
      </x:c>
      <x:c r="B110" s="21" t="str">
        <x:v>F1-R03</x:v>
      </x:c>
      <x:c r="C110" s="21" t="str">
        <x:v>F1</x:v>
      </x:c>
      <x:c r="D110" s="21" t="str">
        <x:v>TR-A</x:v>
      </x:c>
      <x:c r="E110" s="21" t="str">
        <x:v>ancestry recovery</x:v>
      </x:c>
      <x:c r="F110" s="21" t="str"/>
      <x:c r="G110" s="21" t="str"/>
      <x:c r="H110" s="21" t="str">
        <x:v>OPEN</x:v>
      </x:c>
      <x:c r="I110" s="21" t="str"/>
    </x:row>
    <x:row r="111">
      <x:c r="A111" s="21" t="str">
        <x:v>F1-R03-C11</x:v>
      </x:c>
      <x:c r="B111" s="21" t="str">
        <x:v>F1-R03</x:v>
      </x:c>
      <x:c r="C111" s="21" t="str">
        <x:v>F1</x:v>
      </x:c>
      <x:c r="D111" s="21" t="str">
        <x:v>TR-A</x:v>
      </x:c>
      <x:c r="E111" s="21" t="str">
        <x:v>custody seal</x:v>
      </x:c>
      <x:c r="F111" s="21" t="str"/>
      <x:c r="G111" s="21" t="str"/>
      <x:c r="H111" s="21" t="str">
        <x:v>OPEN</x:v>
      </x:c>
      <x:c r="I111" s="21" t="str"/>
    </x:row>
    <x:row r="112">
      <x:c r="A112" s="21" t="str">
        <x:v>F1-R03-C12</x:v>
      </x:c>
      <x:c r="B112" s="21" t="str">
        <x:v>F1-R03</x:v>
      </x:c>
      <x:c r="C112" s="21" t="str">
        <x:v>F1</x:v>
      </x:c>
      <x:c r="D112" s="21" t="str">
        <x:v>TR-A</x:v>
      </x:c>
      <x:c r="E112" s="21" t="str">
        <x:v>retained-sample identity</x:v>
      </x:c>
      <x:c r="F112" s="21" t="str"/>
      <x:c r="G112" s="21" t="str"/>
      <x:c r="H112" s="21" t="str">
        <x:v>OPEN</x:v>
      </x:c>
      <x:c r="I112" s="21" t="str"/>
    </x:row>
    <x:row r="113">
      <x:c r="A113" s="21" t="str">
        <x:v>F1-R04-C01</x:v>
      </x:c>
      <x:c r="B113" s="21" t="str">
        <x:v>F1-R04</x:v>
      </x:c>
      <x:c r="C113" s="21" t="str">
        <x:v>F1</x:v>
      </x:c>
      <x:c r="D113" s="21" t="str">
        <x:v>TR-A</x:v>
      </x:c>
      <x:c r="E113" s="21" t="str">
        <x:v>gross mass</x:v>
      </x:c>
      <x:c r="F113" s="21" t="str"/>
      <x:c r="G113" s="21" t="str"/>
      <x:c r="H113" s="21" t="str">
        <x:v>OPEN</x:v>
      </x:c>
      <x:c r="I113" s="21" t="str"/>
    </x:row>
    <x:row r="114">
      <x:c r="A114" s="21" t="str">
        <x:v>F1-R04-C02</x:v>
      </x:c>
      <x:c r="B114" s="21" t="str">
        <x:v>F1-R04</x:v>
      </x:c>
      <x:c r="C114" s="21" t="str">
        <x:v>F1</x:v>
      </x:c>
      <x:c r="D114" s="21" t="str">
        <x:v>TR-A</x:v>
      </x:c>
      <x:c r="E114" s="21" t="str">
        <x:v>event mass</x:v>
      </x:c>
      <x:c r="F114" s="21" t="str"/>
      <x:c r="G114" s="21" t="str"/>
      <x:c r="H114" s="21" t="str">
        <x:v>OPEN</x:v>
      </x:c>
      <x:c r="I114" s="21" t="str"/>
    </x:row>
    <x:row r="115">
      <x:c r="A115" s="21" t="str">
        <x:v>F1-R04-C03</x:v>
      </x:c>
      <x:c r="B115" s="21" t="str">
        <x:v>F1-R04</x:v>
      </x:c>
      <x:c r="C115" s="21" t="str">
        <x:v>F1</x:v>
      </x:c>
      <x:c r="D115" s="21" t="str">
        <x:v>TR-A</x:v>
      </x:c>
      <x:c r="E115" s="21" t="str">
        <x:v>split masses</x:v>
      </x:c>
      <x:c r="F115" s="21" t="str"/>
      <x:c r="G115" s="21" t="str"/>
      <x:c r="H115" s="21" t="str">
        <x:v>OPEN</x:v>
      </x:c>
      <x:c r="I115" s="21" t="str"/>
    </x:row>
    <x:row r="116">
      <x:c r="A116" s="21" t="str">
        <x:v>F1-R04-C04</x:v>
      </x:c>
      <x:c r="B116" s="21" t="str">
        <x:v>F1-R04</x:v>
      </x:c>
      <x:c r="C116" s="21" t="str">
        <x:v>F1</x:v>
      </x:c>
      <x:c r="D116" s="21" t="str">
        <x:v>TR-A</x:v>
      </x:c>
      <x:c r="E116" s="21" t="str">
        <x:v>density</x:v>
      </x:c>
      <x:c r="F116" s="21" t="str"/>
      <x:c r="G116" s="21" t="str"/>
      <x:c r="H116" s="21" t="str">
        <x:v>OPEN</x:v>
      </x:c>
      <x:c r="I116" s="21" t="str"/>
    </x:row>
    <x:row r="117">
      <x:c r="A117" s="21" t="str">
        <x:v>F1-R04-C05</x:v>
      </x:c>
      <x:c r="B117" s="21" t="str">
        <x:v>F1-R04</x:v>
      </x:c>
      <x:c r="C117" s="21" t="str">
        <x:v>F1</x:v>
      </x:c>
      <x:c r="D117" s="21" t="str">
        <x:v>TR-A</x:v>
      </x:c>
      <x:c r="E117" s="21" t="str">
        <x:v>viscosity</x:v>
      </x:c>
      <x:c r="F117" s="21" t="str"/>
      <x:c r="G117" s="21" t="str"/>
      <x:c r="H117" s="21" t="str">
        <x:v>OPEN</x:v>
      </x:c>
      <x:c r="I117" s="21" t="str"/>
    </x:row>
    <x:row r="118">
      <x:c r="A118" s="21" t="str">
        <x:v>F1-R04-C06</x:v>
      </x:c>
      <x:c r="B118" s="21" t="str">
        <x:v>F1-R04</x:v>
      </x:c>
      <x:c r="C118" s="21" t="str">
        <x:v>F1</x:v>
      </x:c>
      <x:c r="D118" s="21" t="str">
        <x:v>TR-A</x:v>
      </x:c>
      <x:c r="E118" s="21" t="str">
        <x:v>surface tension</x:v>
      </x:c>
      <x:c r="F118" s="21" t="str"/>
      <x:c r="G118" s="21" t="str"/>
      <x:c r="H118" s="21" t="str">
        <x:v>OPEN</x:v>
      </x:c>
      <x:c r="I118" s="21" t="str"/>
    </x:row>
    <x:row r="119">
      <x:c r="A119" s="21" t="str">
        <x:v>F1-R04-C07</x:v>
      </x:c>
      <x:c r="B119" s="21" t="str">
        <x:v>F1-R04</x:v>
      </x:c>
      <x:c r="C119" s="21" t="str">
        <x:v>F1</x:v>
      </x:c>
      <x:c r="D119" s="21" t="str">
        <x:v>TR-A</x:v>
      </x:c>
      <x:c r="E119" s="21" t="str">
        <x:v>temperature</x:v>
      </x:c>
      <x:c r="F119" s="21" t="str"/>
      <x:c r="G119" s="21" t="str"/>
      <x:c r="H119" s="21" t="str">
        <x:v>OPEN</x:v>
      </x:c>
      <x:c r="I119" s="21" t="str"/>
    </x:row>
    <x:row r="120">
      <x:c r="A120" s="21" t="str">
        <x:v>F1-R04-C08</x:v>
      </x:c>
      <x:c r="B120" s="21" t="str">
        <x:v>F1-R04</x:v>
      </x:c>
      <x:c r="C120" s="21" t="str">
        <x:v>F1</x:v>
      </x:c>
      <x:c r="D120" s="21" t="str">
        <x:v>TR-A</x:v>
      </x:c>
      <x:c r="E120" s="21" t="str">
        <x:v>water fraction</x:v>
      </x:c>
      <x:c r="F120" s="21" t="str"/>
      <x:c r="G120" s="21" t="str"/>
      <x:c r="H120" s="21" t="str">
        <x:v>OPEN</x:v>
      </x:c>
      <x:c r="I120" s="21" t="str"/>
    </x:row>
    <x:row r="121">
      <x:c r="A121" s="21" t="str">
        <x:v>F1-R04-C09</x:v>
      </x:c>
      <x:c r="B121" s="21" t="str">
        <x:v>F1-R04</x:v>
      </x:c>
      <x:c r="C121" s="21" t="str">
        <x:v>F1</x:v>
      </x:c>
      <x:c r="D121" s="21" t="str">
        <x:v>TR-A</x:v>
      </x:c>
      <x:c r="E121" s="21" t="str">
        <x:v>foreign solids</x:v>
      </x:c>
      <x:c r="F121" s="21" t="str"/>
      <x:c r="G121" s="21" t="str"/>
      <x:c r="H121" s="21" t="str">
        <x:v>OPEN</x:v>
      </x:c>
      <x:c r="I121" s="21" t="str"/>
    </x:row>
    <x:row r="122">
      <x:c r="A122" s="21" t="str">
        <x:v>F1-R04-C10</x:v>
      </x:c>
      <x:c r="B122" s="21" t="str">
        <x:v>F1-R04</x:v>
      </x:c>
      <x:c r="C122" s="21" t="str">
        <x:v>F1</x:v>
      </x:c>
      <x:c r="D122" s="21" t="str">
        <x:v>TR-A</x:v>
      </x:c>
      <x:c r="E122" s="21" t="str">
        <x:v>ancestry recovery</x:v>
      </x:c>
      <x:c r="F122" s="21" t="str"/>
      <x:c r="G122" s="21" t="str"/>
      <x:c r="H122" s="21" t="str">
        <x:v>OPEN</x:v>
      </x:c>
      <x:c r="I122" s="21" t="str"/>
    </x:row>
    <x:row r="123">
      <x:c r="A123" s="21" t="str">
        <x:v>F1-R04-C11</x:v>
      </x:c>
      <x:c r="B123" s="21" t="str">
        <x:v>F1-R04</x:v>
      </x:c>
      <x:c r="C123" s="21" t="str">
        <x:v>F1</x:v>
      </x:c>
      <x:c r="D123" s="21" t="str">
        <x:v>TR-A</x:v>
      </x:c>
      <x:c r="E123" s="21" t="str">
        <x:v>custody seal</x:v>
      </x:c>
      <x:c r="F123" s="21" t="str"/>
      <x:c r="G123" s="21" t="str"/>
      <x:c r="H123" s="21" t="str">
        <x:v>OPEN</x:v>
      </x:c>
      <x:c r="I123" s="21" t="str"/>
    </x:row>
    <x:row r="124">
      <x:c r="A124" s="21" t="str">
        <x:v>F1-R04-C12</x:v>
      </x:c>
      <x:c r="B124" s="21" t="str">
        <x:v>F1-R04</x:v>
      </x:c>
      <x:c r="C124" s="21" t="str">
        <x:v>F1</x:v>
      </x:c>
      <x:c r="D124" s="21" t="str">
        <x:v>TR-A</x:v>
      </x:c>
      <x:c r="E124" s="21" t="str">
        <x:v>retained-sample identity</x:v>
      </x:c>
      <x:c r="F124" s="21" t="str"/>
      <x:c r="G124" s="21" t="str"/>
      <x:c r="H124" s="21" t="str">
        <x:v>OPEN</x:v>
      </x:c>
      <x:c r="I124" s="21" t="str"/>
    </x:row>
    <x:row r="125">
      <x:c r="A125" s="21" t="str">
        <x:v>F1-R05-C01</x:v>
      </x:c>
      <x:c r="B125" s="21" t="str">
        <x:v>F1-R05</x:v>
      </x:c>
      <x:c r="C125" s="21" t="str">
        <x:v>F1</x:v>
      </x:c>
      <x:c r="D125" s="21" t="str">
        <x:v>TR-A</x:v>
      </x:c>
      <x:c r="E125" s="21" t="str">
        <x:v>gross mass</x:v>
      </x:c>
      <x:c r="F125" s="21" t="str"/>
      <x:c r="G125" s="21" t="str"/>
      <x:c r="H125" s="21" t="str">
        <x:v>OPEN</x:v>
      </x:c>
      <x:c r="I125" s="21" t="str"/>
    </x:row>
    <x:row r="126">
      <x:c r="A126" s="21" t="str">
        <x:v>F1-R05-C02</x:v>
      </x:c>
      <x:c r="B126" s="21" t="str">
        <x:v>F1-R05</x:v>
      </x:c>
      <x:c r="C126" s="21" t="str">
        <x:v>F1</x:v>
      </x:c>
      <x:c r="D126" s="21" t="str">
        <x:v>TR-A</x:v>
      </x:c>
      <x:c r="E126" s="21" t="str">
        <x:v>event mass</x:v>
      </x:c>
      <x:c r="F126" s="21" t="str"/>
      <x:c r="G126" s="21" t="str"/>
      <x:c r="H126" s="21" t="str">
        <x:v>OPEN</x:v>
      </x:c>
      <x:c r="I126" s="21" t="str"/>
    </x:row>
    <x:row r="127">
      <x:c r="A127" s="21" t="str">
        <x:v>F1-R05-C03</x:v>
      </x:c>
      <x:c r="B127" s="21" t="str">
        <x:v>F1-R05</x:v>
      </x:c>
      <x:c r="C127" s="21" t="str">
        <x:v>F1</x:v>
      </x:c>
      <x:c r="D127" s="21" t="str">
        <x:v>TR-A</x:v>
      </x:c>
      <x:c r="E127" s="21" t="str">
        <x:v>split masses</x:v>
      </x:c>
      <x:c r="F127" s="21" t="str"/>
      <x:c r="G127" s="21" t="str"/>
      <x:c r="H127" s="21" t="str">
        <x:v>OPEN</x:v>
      </x:c>
      <x:c r="I127" s="21" t="str"/>
    </x:row>
    <x:row r="128">
      <x:c r="A128" s="21" t="str">
        <x:v>F1-R05-C04</x:v>
      </x:c>
      <x:c r="B128" s="21" t="str">
        <x:v>F1-R05</x:v>
      </x:c>
      <x:c r="C128" s="21" t="str">
        <x:v>F1</x:v>
      </x:c>
      <x:c r="D128" s="21" t="str">
        <x:v>TR-A</x:v>
      </x:c>
      <x:c r="E128" s="21" t="str">
        <x:v>density</x:v>
      </x:c>
      <x:c r="F128" s="21" t="str"/>
      <x:c r="G128" s="21" t="str"/>
      <x:c r="H128" s="21" t="str">
        <x:v>OPEN</x:v>
      </x:c>
      <x:c r="I128" s="21" t="str"/>
    </x:row>
    <x:row r="129">
      <x:c r="A129" s="21" t="str">
        <x:v>F1-R05-C05</x:v>
      </x:c>
      <x:c r="B129" s="21" t="str">
        <x:v>F1-R05</x:v>
      </x:c>
      <x:c r="C129" s="21" t="str">
        <x:v>F1</x:v>
      </x:c>
      <x:c r="D129" s="21" t="str">
        <x:v>TR-A</x:v>
      </x:c>
      <x:c r="E129" s="21" t="str">
        <x:v>viscosity</x:v>
      </x:c>
      <x:c r="F129" s="21" t="str"/>
      <x:c r="G129" s="21" t="str"/>
      <x:c r="H129" s="21" t="str">
        <x:v>OPEN</x:v>
      </x:c>
      <x:c r="I129" s="21" t="str"/>
    </x:row>
    <x:row r="130">
      <x:c r="A130" s="21" t="str">
        <x:v>F1-R05-C06</x:v>
      </x:c>
      <x:c r="B130" s="21" t="str">
        <x:v>F1-R05</x:v>
      </x:c>
      <x:c r="C130" s="21" t="str">
        <x:v>F1</x:v>
      </x:c>
      <x:c r="D130" s="21" t="str">
        <x:v>TR-A</x:v>
      </x:c>
      <x:c r="E130" s="21" t="str">
        <x:v>surface tension</x:v>
      </x:c>
      <x:c r="F130" s="21" t="str"/>
      <x:c r="G130" s="21" t="str"/>
      <x:c r="H130" s="21" t="str">
        <x:v>OPEN</x:v>
      </x:c>
      <x:c r="I130" s="21" t="str"/>
    </x:row>
    <x:row r="131">
      <x:c r="A131" s="21" t="str">
        <x:v>F1-R05-C07</x:v>
      </x:c>
      <x:c r="B131" s="21" t="str">
        <x:v>F1-R05</x:v>
      </x:c>
      <x:c r="C131" s="21" t="str">
        <x:v>F1</x:v>
      </x:c>
      <x:c r="D131" s="21" t="str">
        <x:v>TR-A</x:v>
      </x:c>
      <x:c r="E131" s="21" t="str">
        <x:v>temperature</x:v>
      </x:c>
      <x:c r="F131" s="21" t="str"/>
      <x:c r="G131" s="21" t="str"/>
      <x:c r="H131" s="21" t="str">
        <x:v>OPEN</x:v>
      </x:c>
      <x:c r="I131" s="21" t="str"/>
    </x:row>
    <x:row r="132">
      <x:c r="A132" s="21" t="str">
        <x:v>F1-R05-C08</x:v>
      </x:c>
      <x:c r="B132" s="21" t="str">
        <x:v>F1-R05</x:v>
      </x:c>
      <x:c r="C132" s="21" t="str">
        <x:v>F1</x:v>
      </x:c>
      <x:c r="D132" s="21" t="str">
        <x:v>TR-A</x:v>
      </x:c>
      <x:c r="E132" s="21" t="str">
        <x:v>water fraction</x:v>
      </x:c>
      <x:c r="F132" s="21" t="str"/>
      <x:c r="G132" s="21" t="str"/>
      <x:c r="H132" s="21" t="str">
        <x:v>OPEN</x:v>
      </x:c>
      <x:c r="I132" s="21" t="str"/>
    </x:row>
    <x:row r="133">
      <x:c r="A133" s="21" t="str">
        <x:v>F1-R05-C09</x:v>
      </x:c>
      <x:c r="B133" s="21" t="str">
        <x:v>F1-R05</x:v>
      </x:c>
      <x:c r="C133" s="21" t="str">
        <x:v>F1</x:v>
      </x:c>
      <x:c r="D133" s="21" t="str">
        <x:v>TR-A</x:v>
      </x:c>
      <x:c r="E133" s="21" t="str">
        <x:v>foreign solids</x:v>
      </x:c>
      <x:c r="F133" s="21" t="str"/>
      <x:c r="G133" s="21" t="str"/>
      <x:c r="H133" s="21" t="str">
        <x:v>OPEN</x:v>
      </x:c>
      <x:c r="I133" s="21" t="str"/>
    </x:row>
    <x:row r="134">
      <x:c r="A134" s="21" t="str">
        <x:v>F1-R05-C10</x:v>
      </x:c>
      <x:c r="B134" s="21" t="str">
        <x:v>F1-R05</x:v>
      </x:c>
      <x:c r="C134" s="21" t="str">
        <x:v>F1</x:v>
      </x:c>
      <x:c r="D134" s="21" t="str">
        <x:v>TR-A</x:v>
      </x:c>
      <x:c r="E134" s="21" t="str">
        <x:v>ancestry recovery</x:v>
      </x:c>
      <x:c r="F134" s="21" t="str"/>
      <x:c r="G134" s="21" t="str"/>
      <x:c r="H134" s="21" t="str">
        <x:v>OPEN</x:v>
      </x:c>
      <x:c r="I134" s="21" t="str"/>
    </x:row>
    <x:row r="135">
      <x:c r="A135" s="21" t="str">
        <x:v>F1-R05-C11</x:v>
      </x:c>
      <x:c r="B135" s="21" t="str">
        <x:v>F1-R05</x:v>
      </x:c>
      <x:c r="C135" s="21" t="str">
        <x:v>F1</x:v>
      </x:c>
      <x:c r="D135" s="21" t="str">
        <x:v>TR-A</x:v>
      </x:c>
      <x:c r="E135" s="21" t="str">
        <x:v>custody seal</x:v>
      </x:c>
      <x:c r="F135" s="21" t="str"/>
      <x:c r="G135" s="21" t="str"/>
      <x:c r="H135" s="21" t="str">
        <x:v>OPEN</x:v>
      </x:c>
      <x:c r="I135" s="21" t="str"/>
    </x:row>
    <x:row r="136">
      <x:c r="A136" s="21" t="str">
        <x:v>F1-R05-C12</x:v>
      </x:c>
      <x:c r="B136" s="21" t="str">
        <x:v>F1-R05</x:v>
      </x:c>
      <x:c r="C136" s="21" t="str">
        <x:v>F1</x:v>
      </x:c>
      <x:c r="D136" s="21" t="str">
        <x:v>TR-A</x:v>
      </x:c>
      <x:c r="E136" s="21" t="str">
        <x:v>retained-sample identity</x:v>
      </x:c>
      <x:c r="F136" s="21" t="str"/>
      <x:c r="G136" s="21" t="str"/>
      <x:c r="H136" s="21" t="str">
        <x:v>OPEN</x:v>
      </x:c>
      <x:c r="I136" s="21" t="str"/>
    </x:row>
    <x:row r="137">
      <x:c r="A137" s="21" t="str">
        <x:v>F1-R06-C01</x:v>
      </x:c>
      <x:c r="B137" s="21" t="str">
        <x:v>F1-R06</x:v>
      </x:c>
      <x:c r="C137" s="21" t="str">
        <x:v>F1</x:v>
      </x:c>
      <x:c r="D137" s="21" t="str">
        <x:v>TR-A</x:v>
      </x:c>
      <x:c r="E137" s="21" t="str">
        <x:v>gross mass</x:v>
      </x:c>
      <x:c r="F137" s="21" t="str"/>
      <x:c r="G137" s="21" t="str"/>
      <x:c r="H137" s="21" t="str">
        <x:v>OPEN</x:v>
      </x:c>
      <x:c r="I137" s="21" t="str"/>
    </x:row>
    <x:row r="138">
      <x:c r="A138" s="21" t="str">
        <x:v>F1-R06-C02</x:v>
      </x:c>
      <x:c r="B138" s="21" t="str">
        <x:v>F1-R06</x:v>
      </x:c>
      <x:c r="C138" s="21" t="str">
        <x:v>F1</x:v>
      </x:c>
      <x:c r="D138" s="21" t="str">
        <x:v>TR-A</x:v>
      </x:c>
      <x:c r="E138" s="21" t="str">
        <x:v>event mass</x:v>
      </x:c>
      <x:c r="F138" s="21" t="str"/>
      <x:c r="G138" s="21" t="str"/>
      <x:c r="H138" s="21" t="str">
        <x:v>OPEN</x:v>
      </x:c>
      <x:c r="I138" s="21" t="str"/>
    </x:row>
    <x:row r="139">
      <x:c r="A139" s="21" t="str">
        <x:v>F1-R06-C03</x:v>
      </x:c>
      <x:c r="B139" s="21" t="str">
        <x:v>F1-R06</x:v>
      </x:c>
      <x:c r="C139" s="21" t="str">
        <x:v>F1</x:v>
      </x:c>
      <x:c r="D139" s="21" t="str">
        <x:v>TR-A</x:v>
      </x:c>
      <x:c r="E139" s="21" t="str">
        <x:v>split masses</x:v>
      </x:c>
      <x:c r="F139" s="21" t="str"/>
      <x:c r="G139" s="21" t="str"/>
      <x:c r="H139" s="21" t="str">
        <x:v>OPEN</x:v>
      </x:c>
      <x:c r="I139" s="21" t="str"/>
    </x:row>
    <x:row r="140">
      <x:c r="A140" s="21" t="str">
        <x:v>F1-R06-C04</x:v>
      </x:c>
      <x:c r="B140" s="21" t="str">
        <x:v>F1-R06</x:v>
      </x:c>
      <x:c r="C140" s="21" t="str">
        <x:v>F1</x:v>
      </x:c>
      <x:c r="D140" s="21" t="str">
        <x:v>TR-A</x:v>
      </x:c>
      <x:c r="E140" s="21" t="str">
        <x:v>density</x:v>
      </x:c>
      <x:c r="F140" s="21" t="str"/>
      <x:c r="G140" s="21" t="str"/>
      <x:c r="H140" s="21" t="str">
        <x:v>OPEN</x:v>
      </x:c>
      <x:c r="I140" s="21" t="str"/>
    </x:row>
    <x:row r="141">
      <x:c r="A141" s="21" t="str">
        <x:v>F1-R06-C05</x:v>
      </x:c>
      <x:c r="B141" s="21" t="str">
        <x:v>F1-R06</x:v>
      </x:c>
      <x:c r="C141" s="21" t="str">
        <x:v>F1</x:v>
      </x:c>
      <x:c r="D141" s="21" t="str">
        <x:v>TR-A</x:v>
      </x:c>
      <x:c r="E141" s="21" t="str">
        <x:v>viscosity</x:v>
      </x:c>
      <x:c r="F141" s="21" t="str"/>
      <x:c r="G141" s="21" t="str"/>
      <x:c r="H141" s="21" t="str">
        <x:v>OPEN</x:v>
      </x:c>
      <x:c r="I141" s="21" t="str"/>
    </x:row>
    <x:row r="142">
      <x:c r="A142" s="21" t="str">
        <x:v>F1-R06-C06</x:v>
      </x:c>
      <x:c r="B142" s="21" t="str">
        <x:v>F1-R06</x:v>
      </x:c>
      <x:c r="C142" s="21" t="str">
        <x:v>F1</x:v>
      </x:c>
      <x:c r="D142" s="21" t="str">
        <x:v>TR-A</x:v>
      </x:c>
      <x:c r="E142" s="21" t="str">
        <x:v>surface tension</x:v>
      </x:c>
      <x:c r="F142" s="21" t="str"/>
      <x:c r="G142" s="21" t="str"/>
      <x:c r="H142" s="21" t="str">
        <x:v>OPEN</x:v>
      </x:c>
      <x:c r="I142" s="21" t="str"/>
    </x:row>
    <x:row r="143">
      <x:c r="A143" s="21" t="str">
        <x:v>F1-R06-C07</x:v>
      </x:c>
      <x:c r="B143" s="21" t="str">
        <x:v>F1-R06</x:v>
      </x:c>
      <x:c r="C143" s="21" t="str">
        <x:v>F1</x:v>
      </x:c>
      <x:c r="D143" s="21" t="str">
        <x:v>TR-A</x:v>
      </x:c>
      <x:c r="E143" s="21" t="str">
        <x:v>temperature</x:v>
      </x:c>
      <x:c r="F143" s="21" t="str"/>
      <x:c r="G143" s="21" t="str"/>
      <x:c r="H143" s="21" t="str">
        <x:v>OPEN</x:v>
      </x:c>
      <x:c r="I143" s="21" t="str"/>
    </x:row>
    <x:row r="144">
      <x:c r="A144" s="21" t="str">
        <x:v>F1-R06-C08</x:v>
      </x:c>
      <x:c r="B144" s="21" t="str">
        <x:v>F1-R06</x:v>
      </x:c>
      <x:c r="C144" s="21" t="str">
        <x:v>F1</x:v>
      </x:c>
      <x:c r="D144" s="21" t="str">
        <x:v>TR-A</x:v>
      </x:c>
      <x:c r="E144" s="21" t="str">
        <x:v>water fraction</x:v>
      </x:c>
      <x:c r="F144" s="21" t="str"/>
      <x:c r="G144" s="21" t="str"/>
      <x:c r="H144" s="21" t="str">
        <x:v>OPEN</x:v>
      </x:c>
      <x:c r="I144" s="21" t="str"/>
    </x:row>
    <x:row r="145">
      <x:c r="A145" s="21" t="str">
        <x:v>F1-R06-C09</x:v>
      </x:c>
      <x:c r="B145" s="21" t="str">
        <x:v>F1-R06</x:v>
      </x:c>
      <x:c r="C145" s="21" t="str">
        <x:v>F1</x:v>
      </x:c>
      <x:c r="D145" s="21" t="str">
        <x:v>TR-A</x:v>
      </x:c>
      <x:c r="E145" s="21" t="str">
        <x:v>foreign solids</x:v>
      </x:c>
      <x:c r="F145" s="21" t="str"/>
      <x:c r="G145" s="21" t="str"/>
      <x:c r="H145" s="21" t="str">
        <x:v>OPEN</x:v>
      </x:c>
      <x:c r="I145" s="21" t="str"/>
    </x:row>
    <x:row r="146">
      <x:c r="A146" s="21" t="str">
        <x:v>F1-R06-C10</x:v>
      </x:c>
      <x:c r="B146" s="21" t="str">
        <x:v>F1-R06</x:v>
      </x:c>
      <x:c r="C146" s="21" t="str">
        <x:v>F1</x:v>
      </x:c>
      <x:c r="D146" s="21" t="str">
        <x:v>TR-A</x:v>
      </x:c>
      <x:c r="E146" s="21" t="str">
        <x:v>ancestry recovery</x:v>
      </x:c>
      <x:c r="F146" s="21" t="str"/>
      <x:c r="G146" s="21" t="str"/>
      <x:c r="H146" s="21" t="str">
        <x:v>OPEN</x:v>
      </x:c>
      <x:c r="I146" s="21" t="str"/>
    </x:row>
    <x:row r="147">
      <x:c r="A147" s="21" t="str">
        <x:v>F1-R06-C11</x:v>
      </x:c>
      <x:c r="B147" s="21" t="str">
        <x:v>F1-R06</x:v>
      </x:c>
      <x:c r="C147" s="21" t="str">
        <x:v>F1</x:v>
      </x:c>
      <x:c r="D147" s="21" t="str">
        <x:v>TR-A</x:v>
      </x:c>
      <x:c r="E147" s="21" t="str">
        <x:v>custody seal</x:v>
      </x:c>
      <x:c r="F147" s="21" t="str"/>
      <x:c r="G147" s="21" t="str"/>
      <x:c r="H147" s="21" t="str">
        <x:v>OPEN</x:v>
      </x:c>
      <x:c r="I147" s="21" t="str"/>
    </x:row>
    <x:row r="148">
      <x:c r="A148" s="21" t="str">
        <x:v>F1-R06-C12</x:v>
      </x:c>
      <x:c r="B148" s="21" t="str">
        <x:v>F1-R06</x:v>
      </x:c>
      <x:c r="C148" s="21" t="str">
        <x:v>F1</x:v>
      </x:c>
      <x:c r="D148" s="21" t="str">
        <x:v>TR-A</x:v>
      </x:c>
      <x:c r="E148" s="21" t="str">
        <x:v>retained-sample identity</x:v>
      </x:c>
      <x:c r="F148" s="21" t="str"/>
      <x:c r="G148" s="21" t="str"/>
      <x:c r="H148" s="21" t="str">
        <x:v>OPEN</x:v>
      </x:c>
      <x:c r="I148" s="21" t="str"/>
    </x:row>
    <x:row r="149">
      <x:c r="A149" s="21" t="str">
        <x:v>F1-R07-C01</x:v>
      </x:c>
      <x:c r="B149" s="21" t="str">
        <x:v>F1-R07</x:v>
      </x:c>
      <x:c r="C149" s="21" t="str">
        <x:v>F1</x:v>
      </x:c>
      <x:c r="D149" s="21" t="str">
        <x:v>TR-A</x:v>
      </x:c>
      <x:c r="E149" s="21" t="str">
        <x:v>gross mass</x:v>
      </x:c>
      <x:c r="F149" s="21" t="str"/>
      <x:c r="G149" s="21" t="str"/>
      <x:c r="H149" s="21" t="str">
        <x:v>OPEN</x:v>
      </x:c>
      <x:c r="I149" s="21" t="str"/>
    </x:row>
    <x:row r="150">
      <x:c r="A150" s="21" t="str">
        <x:v>F1-R07-C02</x:v>
      </x:c>
      <x:c r="B150" s="21" t="str">
        <x:v>F1-R07</x:v>
      </x:c>
      <x:c r="C150" s="21" t="str">
        <x:v>F1</x:v>
      </x:c>
      <x:c r="D150" s="21" t="str">
        <x:v>TR-A</x:v>
      </x:c>
      <x:c r="E150" s="21" t="str">
        <x:v>event mass</x:v>
      </x:c>
      <x:c r="F150" s="21" t="str"/>
      <x:c r="G150" s="21" t="str"/>
      <x:c r="H150" s="21" t="str">
        <x:v>OPEN</x:v>
      </x:c>
      <x:c r="I150" s="21" t="str"/>
    </x:row>
    <x:row r="151">
      <x:c r="A151" s="21" t="str">
        <x:v>F1-R07-C03</x:v>
      </x:c>
      <x:c r="B151" s="21" t="str">
        <x:v>F1-R07</x:v>
      </x:c>
      <x:c r="C151" s="21" t="str">
        <x:v>F1</x:v>
      </x:c>
      <x:c r="D151" s="21" t="str">
        <x:v>TR-A</x:v>
      </x:c>
      <x:c r="E151" s="21" t="str">
        <x:v>split masses</x:v>
      </x:c>
      <x:c r="F151" s="21" t="str"/>
      <x:c r="G151" s="21" t="str"/>
      <x:c r="H151" s="21" t="str">
        <x:v>OPEN</x:v>
      </x:c>
      <x:c r="I151" s="21" t="str"/>
    </x:row>
    <x:row r="152">
      <x:c r="A152" s="21" t="str">
        <x:v>F1-R07-C04</x:v>
      </x:c>
      <x:c r="B152" s="21" t="str">
        <x:v>F1-R07</x:v>
      </x:c>
      <x:c r="C152" s="21" t="str">
        <x:v>F1</x:v>
      </x:c>
      <x:c r="D152" s="21" t="str">
        <x:v>TR-A</x:v>
      </x:c>
      <x:c r="E152" s="21" t="str">
        <x:v>density</x:v>
      </x:c>
      <x:c r="F152" s="21" t="str"/>
      <x:c r="G152" s="21" t="str"/>
      <x:c r="H152" s="21" t="str">
        <x:v>OPEN</x:v>
      </x:c>
      <x:c r="I152" s="21" t="str"/>
    </x:row>
    <x:row r="153">
      <x:c r="A153" s="21" t="str">
        <x:v>F1-R07-C05</x:v>
      </x:c>
      <x:c r="B153" s="21" t="str">
        <x:v>F1-R07</x:v>
      </x:c>
      <x:c r="C153" s="21" t="str">
        <x:v>F1</x:v>
      </x:c>
      <x:c r="D153" s="21" t="str">
        <x:v>TR-A</x:v>
      </x:c>
      <x:c r="E153" s="21" t="str">
        <x:v>viscosity</x:v>
      </x:c>
      <x:c r="F153" s="21" t="str"/>
      <x:c r="G153" s="21" t="str"/>
      <x:c r="H153" s="21" t="str">
        <x:v>OPEN</x:v>
      </x:c>
      <x:c r="I153" s="21" t="str"/>
    </x:row>
    <x:row r="154">
      <x:c r="A154" s="21" t="str">
        <x:v>F1-R07-C06</x:v>
      </x:c>
      <x:c r="B154" s="21" t="str">
        <x:v>F1-R07</x:v>
      </x:c>
      <x:c r="C154" s="21" t="str">
        <x:v>F1</x:v>
      </x:c>
      <x:c r="D154" s="21" t="str">
        <x:v>TR-A</x:v>
      </x:c>
      <x:c r="E154" s="21" t="str">
        <x:v>surface tension</x:v>
      </x:c>
      <x:c r="F154" s="21" t="str"/>
      <x:c r="G154" s="21" t="str"/>
      <x:c r="H154" s="21" t="str">
        <x:v>OPEN</x:v>
      </x:c>
      <x:c r="I154" s="21" t="str"/>
    </x:row>
    <x:row r="155">
      <x:c r="A155" s="21" t="str">
        <x:v>F1-R07-C07</x:v>
      </x:c>
      <x:c r="B155" s="21" t="str">
        <x:v>F1-R07</x:v>
      </x:c>
      <x:c r="C155" s="21" t="str">
        <x:v>F1</x:v>
      </x:c>
      <x:c r="D155" s="21" t="str">
        <x:v>TR-A</x:v>
      </x:c>
      <x:c r="E155" s="21" t="str">
        <x:v>temperature</x:v>
      </x:c>
      <x:c r="F155" s="21" t="str"/>
      <x:c r="G155" s="21" t="str"/>
      <x:c r="H155" s="21" t="str">
        <x:v>OPEN</x:v>
      </x:c>
      <x:c r="I155" s="21" t="str"/>
    </x:row>
    <x:row r="156">
      <x:c r="A156" s="21" t="str">
        <x:v>F1-R07-C08</x:v>
      </x:c>
      <x:c r="B156" s="21" t="str">
        <x:v>F1-R07</x:v>
      </x:c>
      <x:c r="C156" s="21" t="str">
        <x:v>F1</x:v>
      </x:c>
      <x:c r="D156" s="21" t="str">
        <x:v>TR-A</x:v>
      </x:c>
      <x:c r="E156" s="21" t="str">
        <x:v>water fraction</x:v>
      </x:c>
      <x:c r="F156" s="21" t="str"/>
      <x:c r="G156" s="21" t="str"/>
      <x:c r="H156" s="21" t="str">
        <x:v>OPEN</x:v>
      </x:c>
      <x:c r="I156" s="21" t="str"/>
    </x:row>
    <x:row r="157">
      <x:c r="A157" s="21" t="str">
        <x:v>F1-R07-C09</x:v>
      </x:c>
      <x:c r="B157" s="21" t="str">
        <x:v>F1-R07</x:v>
      </x:c>
      <x:c r="C157" s="21" t="str">
        <x:v>F1</x:v>
      </x:c>
      <x:c r="D157" s="21" t="str">
        <x:v>TR-A</x:v>
      </x:c>
      <x:c r="E157" s="21" t="str">
        <x:v>foreign solids</x:v>
      </x:c>
      <x:c r="F157" s="21" t="str"/>
      <x:c r="G157" s="21" t="str"/>
      <x:c r="H157" s="21" t="str">
        <x:v>OPEN</x:v>
      </x:c>
      <x:c r="I157" s="21" t="str"/>
    </x:row>
    <x:row r="158">
      <x:c r="A158" s="21" t="str">
        <x:v>F1-R07-C10</x:v>
      </x:c>
      <x:c r="B158" s="21" t="str">
        <x:v>F1-R07</x:v>
      </x:c>
      <x:c r="C158" s="21" t="str">
        <x:v>F1</x:v>
      </x:c>
      <x:c r="D158" s="21" t="str">
        <x:v>TR-A</x:v>
      </x:c>
      <x:c r="E158" s="21" t="str">
        <x:v>ancestry recovery</x:v>
      </x:c>
      <x:c r="F158" s="21" t="str"/>
      <x:c r="G158" s="21" t="str"/>
      <x:c r="H158" s="21" t="str">
        <x:v>OPEN</x:v>
      </x:c>
      <x:c r="I158" s="21" t="str"/>
    </x:row>
    <x:row r="159">
      <x:c r="A159" s="21" t="str">
        <x:v>F1-R07-C11</x:v>
      </x:c>
      <x:c r="B159" s="21" t="str">
        <x:v>F1-R07</x:v>
      </x:c>
      <x:c r="C159" s="21" t="str">
        <x:v>F1</x:v>
      </x:c>
      <x:c r="D159" s="21" t="str">
        <x:v>TR-A</x:v>
      </x:c>
      <x:c r="E159" s="21" t="str">
        <x:v>custody seal</x:v>
      </x:c>
      <x:c r="F159" s="21" t="str"/>
      <x:c r="G159" s="21" t="str"/>
      <x:c r="H159" s="21" t="str">
        <x:v>OPEN</x:v>
      </x:c>
      <x:c r="I159" s="21" t="str"/>
    </x:row>
    <x:row r="160">
      <x:c r="A160" s="21" t="str">
        <x:v>F1-R07-C12</x:v>
      </x:c>
      <x:c r="B160" s="21" t="str">
        <x:v>F1-R07</x:v>
      </x:c>
      <x:c r="C160" s="21" t="str">
        <x:v>F1</x:v>
      </x:c>
      <x:c r="D160" s="21" t="str">
        <x:v>TR-A</x:v>
      </x:c>
      <x:c r="E160" s="21" t="str">
        <x:v>retained-sample identity</x:v>
      </x:c>
      <x:c r="F160" s="21" t="str"/>
      <x:c r="G160" s="21" t="str"/>
      <x:c r="H160" s="21" t="str">
        <x:v>OPEN</x:v>
      </x:c>
      <x:c r="I160" s="21" t="str"/>
    </x:row>
    <x:row r="161">
      <x:c r="A161" s="21" t="str">
        <x:v>F1-F01-C01</x:v>
      </x:c>
      <x:c r="B161" s="21" t="str">
        <x:v>F1-F01</x:v>
      </x:c>
      <x:c r="C161" s="21" t="str">
        <x:v>F1</x:v>
      </x:c>
      <x:c r="D161" s="21" t="str">
        <x:v>TR-A</x:v>
      </x:c>
      <x:c r="E161" s="21" t="str">
        <x:v>gross mass</x:v>
      </x:c>
      <x:c r="F161" s="21" t="str"/>
      <x:c r="G161" s="21" t="str"/>
      <x:c r="H161" s="21" t="str">
        <x:v>OPEN</x:v>
      </x:c>
      <x:c r="I161" s="21" t="str"/>
    </x:row>
    <x:row r="162">
      <x:c r="A162" s="21" t="str">
        <x:v>F1-F01-C02</x:v>
      </x:c>
      <x:c r="B162" s="21" t="str">
        <x:v>F1-F01</x:v>
      </x:c>
      <x:c r="C162" s="21" t="str">
        <x:v>F1</x:v>
      </x:c>
      <x:c r="D162" s="21" t="str">
        <x:v>TR-A</x:v>
      </x:c>
      <x:c r="E162" s="21" t="str">
        <x:v>event mass</x:v>
      </x:c>
      <x:c r="F162" s="21" t="str"/>
      <x:c r="G162" s="21" t="str"/>
      <x:c r="H162" s="21" t="str">
        <x:v>OPEN</x:v>
      </x:c>
      <x:c r="I162" s="21" t="str"/>
    </x:row>
    <x:row r="163">
      <x:c r="A163" s="21" t="str">
        <x:v>F1-F01-C03</x:v>
      </x:c>
      <x:c r="B163" s="21" t="str">
        <x:v>F1-F01</x:v>
      </x:c>
      <x:c r="C163" s="21" t="str">
        <x:v>F1</x:v>
      </x:c>
      <x:c r="D163" s="21" t="str">
        <x:v>TR-A</x:v>
      </x:c>
      <x:c r="E163" s="21" t="str">
        <x:v>split masses</x:v>
      </x:c>
      <x:c r="F163" s="21" t="str"/>
      <x:c r="G163" s="21" t="str"/>
      <x:c r="H163" s="21" t="str">
        <x:v>OPEN</x:v>
      </x:c>
      <x:c r="I163" s="21" t="str"/>
    </x:row>
    <x:row r="164">
      <x:c r="A164" s="21" t="str">
        <x:v>F1-F01-C04</x:v>
      </x:c>
      <x:c r="B164" s="21" t="str">
        <x:v>F1-F01</x:v>
      </x:c>
      <x:c r="C164" s="21" t="str">
        <x:v>F1</x:v>
      </x:c>
      <x:c r="D164" s="21" t="str">
        <x:v>TR-A</x:v>
      </x:c>
      <x:c r="E164" s="21" t="str">
        <x:v>density</x:v>
      </x:c>
      <x:c r="F164" s="21" t="str"/>
      <x:c r="G164" s="21" t="str"/>
      <x:c r="H164" s="21" t="str">
        <x:v>OPEN</x:v>
      </x:c>
      <x:c r="I164" s="21" t="str"/>
    </x:row>
    <x:row r="165">
      <x:c r="A165" s="21" t="str">
        <x:v>F1-F01-C05</x:v>
      </x:c>
      <x:c r="B165" s="21" t="str">
        <x:v>F1-F01</x:v>
      </x:c>
      <x:c r="C165" s="21" t="str">
        <x:v>F1</x:v>
      </x:c>
      <x:c r="D165" s="21" t="str">
        <x:v>TR-A</x:v>
      </x:c>
      <x:c r="E165" s="21" t="str">
        <x:v>viscosity</x:v>
      </x:c>
      <x:c r="F165" s="21" t="str"/>
      <x:c r="G165" s="21" t="str"/>
      <x:c r="H165" s="21" t="str">
        <x:v>OPEN</x:v>
      </x:c>
      <x:c r="I165" s="21" t="str"/>
    </x:row>
    <x:row r="166">
      <x:c r="A166" s="21" t="str">
        <x:v>F1-F01-C06</x:v>
      </x:c>
      <x:c r="B166" s="21" t="str">
        <x:v>F1-F01</x:v>
      </x:c>
      <x:c r="C166" s="21" t="str">
        <x:v>F1</x:v>
      </x:c>
      <x:c r="D166" s="21" t="str">
        <x:v>TR-A</x:v>
      </x:c>
      <x:c r="E166" s="21" t="str">
        <x:v>surface tension</x:v>
      </x:c>
      <x:c r="F166" s="21" t="str"/>
      <x:c r="G166" s="21" t="str"/>
      <x:c r="H166" s="21" t="str">
        <x:v>OPEN</x:v>
      </x:c>
      <x:c r="I166" s="21" t="str"/>
    </x:row>
    <x:row r="167">
      <x:c r="A167" s="21" t="str">
        <x:v>F1-F01-C07</x:v>
      </x:c>
      <x:c r="B167" s="21" t="str">
        <x:v>F1-F01</x:v>
      </x:c>
      <x:c r="C167" s="21" t="str">
        <x:v>F1</x:v>
      </x:c>
      <x:c r="D167" s="21" t="str">
        <x:v>TR-A</x:v>
      </x:c>
      <x:c r="E167" s="21" t="str">
        <x:v>temperature</x:v>
      </x:c>
      <x:c r="F167" s="21" t="str"/>
      <x:c r="G167" s="21" t="str"/>
      <x:c r="H167" s="21" t="str">
        <x:v>OPEN</x:v>
      </x:c>
      <x:c r="I167" s="21" t="str"/>
    </x:row>
    <x:row r="168">
      <x:c r="A168" s="21" t="str">
        <x:v>F1-F01-C08</x:v>
      </x:c>
      <x:c r="B168" s="21" t="str">
        <x:v>F1-F01</x:v>
      </x:c>
      <x:c r="C168" s="21" t="str">
        <x:v>F1</x:v>
      </x:c>
      <x:c r="D168" s="21" t="str">
        <x:v>TR-A</x:v>
      </x:c>
      <x:c r="E168" s="21" t="str">
        <x:v>water fraction</x:v>
      </x:c>
      <x:c r="F168" s="21" t="str"/>
      <x:c r="G168" s="21" t="str"/>
      <x:c r="H168" s="21" t="str">
        <x:v>OPEN</x:v>
      </x:c>
      <x:c r="I168" s="21" t="str"/>
    </x:row>
    <x:row r="169">
      <x:c r="A169" s="21" t="str">
        <x:v>F1-F01-C09</x:v>
      </x:c>
      <x:c r="B169" s="21" t="str">
        <x:v>F1-F01</x:v>
      </x:c>
      <x:c r="C169" s="21" t="str">
        <x:v>F1</x:v>
      </x:c>
      <x:c r="D169" s="21" t="str">
        <x:v>TR-A</x:v>
      </x:c>
      <x:c r="E169" s="21" t="str">
        <x:v>foreign solids</x:v>
      </x:c>
      <x:c r="F169" s="21" t="str"/>
      <x:c r="G169" s="21" t="str"/>
      <x:c r="H169" s="21" t="str">
        <x:v>OPEN</x:v>
      </x:c>
      <x:c r="I169" s="21" t="str"/>
    </x:row>
    <x:row r="170">
      <x:c r="A170" s="21" t="str">
        <x:v>F1-F01-C10</x:v>
      </x:c>
      <x:c r="B170" s="21" t="str">
        <x:v>F1-F01</x:v>
      </x:c>
      <x:c r="C170" s="21" t="str">
        <x:v>F1</x:v>
      </x:c>
      <x:c r="D170" s="21" t="str">
        <x:v>TR-A</x:v>
      </x:c>
      <x:c r="E170" s="21" t="str">
        <x:v>ancestry recovery</x:v>
      </x:c>
      <x:c r="F170" s="21" t="str"/>
      <x:c r="G170" s="21" t="str"/>
      <x:c r="H170" s="21" t="str">
        <x:v>OPEN</x:v>
      </x:c>
      <x:c r="I170" s="21" t="str"/>
    </x:row>
    <x:row r="171">
      <x:c r="A171" s="21" t="str">
        <x:v>F1-F01-C11</x:v>
      </x:c>
      <x:c r="B171" s="21" t="str">
        <x:v>F1-F01</x:v>
      </x:c>
      <x:c r="C171" s="21" t="str">
        <x:v>F1</x:v>
      </x:c>
      <x:c r="D171" s="21" t="str">
        <x:v>TR-A</x:v>
      </x:c>
      <x:c r="E171" s="21" t="str">
        <x:v>custody seal</x:v>
      </x:c>
      <x:c r="F171" s="21" t="str"/>
      <x:c r="G171" s="21" t="str"/>
      <x:c r="H171" s="21" t="str">
        <x:v>OPEN</x:v>
      </x:c>
      <x:c r="I171" s="21" t="str"/>
    </x:row>
    <x:row r="172">
      <x:c r="A172" s="21" t="str">
        <x:v>F1-F01-C12</x:v>
      </x:c>
      <x:c r="B172" s="21" t="str">
        <x:v>F1-F01</x:v>
      </x:c>
      <x:c r="C172" s="21" t="str">
        <x:v>F1</x:v>
      </x:c>
      <x:c r="D172" s="21" t="str">
        <x:v>TR-A</x:v>
      </x:c>
      <x:c r="E172" s="21" t="str">
        <x:v>retained-sample identity</x:v>
      </x:c>
      <x:c r="F172" s="21" t="str"/>
      <x:c r="G172" s="21" t="str"/>
      <x:c r="H172" s="21" t="str">
        <x:v>OPEN</x:v>
      </x:c>
      <x:c r="I172" s="21" t="str"/>
    </x:row>
    <x:row r="173">
      <x:c r="A173" s="21" t="str">
        <x:v>F2-A01-C01</x:v>
      </x:c>
      <x:c r="B173" s="21" t="str">
        <x:v>F2-A01</x:v>
      </x:c>
      <x:c r="C173" s="21" t="str">
        <x:v>F2</x:v>
      </x:c>
      <x:c r="D173" s="21" t="str">
        <x:v>TR-B</x:v>
      </x:c>
      <x:c r="E173" s="21" t="str">
        <x:v>gross mass</x:v>
      </x:c>
      <x:c r="F173" s="21" t="str"/>
      <x:c r="G173" s="21" t="str"/>
      <x:c r="H173" s="21" t="str">
        <x:v>OPEN</x:v>
      </x:c>
      <x:c r="I173" s="21" t="str"/>
    </x:row>
    <x:row r="174">
      <x:c r="A174" s="21" t="str">
        <x:v>F2-A01-C02</x:v>
      </x:c>
      <x:c r="B174" s="21" t="str">
        <x:v>F2-A01</x:v>
      </x:c>
      <x:c r="C174" s="21" t="str">
        <x:v>F2</x:v>
      </x:c>
      <x:c r="D174" s="21" t="str">
        <x:v>TR-B</x:v>
      </x:c>
      <x:c r="E174" s="21" t="str">
        <x:v>event mass</x:v>
      </x:c>
      <x:c r="F174" s="21" t="str"/>
      <x:c r="G174" s="21" t="str"/>
      <x:c r="H174" s="21" t="str">
        <x:v>OPEN</x:v>
      </x:c>
      <x:c r="I174" s="21" t="str"/>
    </x:row>
    <x:row r="175">
      <x:c r="A175" s="21" t="str">
        <x:v>F2-A01-C03</x:v>
      </x:c>
      <x:c r="B175" s="21" t="str">
        <x:v>F2-A01</x:v>
      </x:c>
      <x:c r="C175" s="21" t="str">
        <x:v>F2</x:v>
      </x:c>
      <x:c r="D175" s="21" t="str">
        <x:v>TR-B</x:v>
      </x:c>
      <x:c r="E175" s="21" t="str">
        <x:v>split masses</x:v>
      </x:c>
      <x:c r="F175" s="21" t="str"/>
      <x:c r="G175" s="21" t="str"/>
      <x:c r="H175" s="21" t="str">
        <x:v>OPEN</x:v>
      </x:c>
      <x:c r="I175" s="21" t="str"/>
    </x:row>
    <x:row r="176">
      <x:c r="A176" s="21" t="str">
        <x:v>F2-A01-C04</x:v>
      </x:c>
      <x:c r="B176" s="21" t="str">
        <x:v>F2-A01</x:v>
      </x:c>
      <x:c r="C176" s="21" t="str">
        <x:v>F2</x:v>
      </x:c>
      <x:c r="D176" s="21" t="str">
        <x:v>TR-B</x:v>
      </x:c>
      <x:c r="E176" s="21" t="str">
        <x:v>density</x:v>
      </x:c>
      <x:c r="F176" s="21" t="str"/>
      <x:c r="G176" s="21" t="str"/>
      <x:c r="H176" s="21" t="str">
        <x:v>OPEN</x:v>
      </x:c>
      <x:c r="I176" s="21" t="str"/>
    </x:row>
    <x:row r="177">
      <x:c r="A177" s="21" t="str">
        <x:v>F2-A01-C05</x:v>
      </x:c>
      <x:c r="B177" s="21" t="str">
        <x:v>F2-A01</x:v>
      </x:c>
      <x:c r="C177" s="21" t="str">
        <x:v>F2</x:v>
      </x:c>
      <x:c r="D177" s="21" t="str">
        <x:v>TR-B</x:v>
      </x:c>
      <x:c r="E177" s="21" t="str">
        <x:v>viscosity</x:v>
      </x:c>
      <x:c r="F177" s="21" t="str"/>
      <x:c r="G177" s="21" t="str"/>
      <x:c r="H177" s="21" t="str">
        <x:v>OPEN</x:v>
      </x:c>
      <x:c r="I177" s="21" t="str"/>
    </x:row>
    <x:row r="178">
      <x:c r="A178" s="21" t="str">
        <x:v>F2-A01-C06</x:v>
      </x:c>
      <x:c r="B178" s="21" t="str">
        <x:v>F2-A01</x:v>
      </x:c>
      <x:c r="C178" s="21" t="str">
        <x:v>F2</x:v>
      </x:c>
      <x:c r="D178" s="21" t="str">
        <x:v>TR-B</x:v>
      </x:c>
      <x:c r="E178" s="21" t="str">
        <x:v>surface tension</x:v>
      </x:c>
      <x:c r="F178" s="21" t="str"/>
      <x:c r="G178" s="21" t="str"/>
      <x:c r="H178" s="21" t="str">
        <x:v>OPEN</x:v>
      </x:c>
      <x:c r="I178" s="21" t="str"/>
    </x:row>
    <x:row r="179">
      <x:c r="A179" s="21" t="str">
        <x:v>F2-A01-C07</x:v>
      </x:c>
      <x:c r="B179" s="21" t="str">
        <x:v>F2-A01</x:v>
      </x:c>
      <x:c r="C179" s="21" t="str">
        <x:v>F2</x:v>
      </x:c>
      <x:c r="D179" s="21" t="str">
        <x:v>TR-B</x:v>
      </x:c>
      <x:c r="E179" s="21" t="str">
        <x:v>temperature</x:v>
      </x:c>
      <x:c r="F179" s="21" t="str"/>
      <x:c r="G179" s="21" t="str"/>
      <x:c r="H179" s="21" t="str">
        <x:v>OPEN</x:v>
      </x:c>
      <x:c r="I179" s="21" t="str"/>
    </x:row>
    <x:row r="180">
      <x:c r="A180" s="21" t="str">
        <x:v>F2-A01-C08</x:v>
      </x:c>
      <x:c r="B180" s="21" t="str">
        <x:v>F2-A01</x:v>
      </x:c>
      <x:c r="C180" s="21" t="str">
        <x:v>F2</x:v>
      </x:c>
      <x:c r="D180" s="21" t="str">
        <x:v>TR-B</x:v>
      </x:c>
      <x:c r="E180" s="21" t="str">
        <x:v>water fraction</x:v>
      </x:c>
      <x:c r="F180" s="21" t="str"/>
      <x:c r="G180" s="21" t="str"/>
      <x:c r="H180" s="21" t="str">
        <x:v>OPEN</x:v>
      </x:c>
      <x:c r="I180" s="21" t="str"/>
    </x:row>
    <x:row r="181">
      <x:c r="A181" s="21" t="str">
        <x:v>F2-A01-C09</x:v>
      </x:c>
      <x:c r="B181" s="21" t="str">
        <x:v>F2-A01</x:v>
      </x:c>
      <x:c r="C181" s="21" t="str">
        <x:v>F2</x:v>
      </x:c>
      <x:c r="D181" s="21" t="str">
        <x:v>TR-B</x:v>
      </x:c>
      <x:c r="E181" s="21" t="str">
        <x:v>foreign solids</x:v>
      </x:c>
      <x:c r="F181" s="21" t="str"/>
      <x:c r="G181" s="21" t="str"/>
      <x:c r="H181" s="21" t="str">
        <x:v>OPEN</x:v>
      </x:c>
      <x:c r="I181" s="21" t="str"/>
    </x:row>
    <x:row r="182">
      <x:c r="A182" s="21" t="str">
        <x:v>F2-A01-C10</x:v>
      </x:c>
      <x:c r="B182" s="21" t="str">
        <x:v>F2-A01</x:v>
      </x:c>
      <x:c r="C182" s="21" t="str">
        <x:v>F2</x:v>
      </x:c>
      <x:c r="D182" s="21" t="str">
        <x:v>TR-B</x:v>
      </x:c>
      <x:c r="E182" s="21" t="str">
        <x:v>ancestry recovery</x:v>
      </x:c>
      <x:c r="F182" s="21" t="str"/>
      <x:c r="G182" s="21" t="str"/>
      <x:c r="H182" s="21" t="str">
        <x:v>OPEN</x:v>
      </x:c>
      <x:c r="I182" s="21" t="str"/>
    </x:row>
    <x:row r="183">
      <x:c r="A183" s="21" t="str">
        <x:v>F2-A01-C11</x:v>
      </x:c>
      <x:c r="B183" s="21" t="str">
        <x:v>F2-A01</x:v>
      </x:c>
      <x:c r="C183" s="21" t="str">
        <x:v>F2</x:v>
      </x:c>
      <x:c r="D183" s="21" t="str">
        <x:v>TR-B</x:v>
      </x:c>
      <x:c r="E183" s="21" t="str">
        <x:v>custody seal</x:v>
      </x:c>
      <x:c r="F183" s="21" t="str"/>
      <x:c r="G183" s="21" t="str"/>
      <x:c r="H183" s="21" t="str">
        <x:v>OPEN</x:v>
      </x:c>
      <x:c r="I183" s="21" t="str"/>
    </x:row>
    <x:row r="184">
      <x:c r="A184" s="21" t="str">
        <x:v>F2-A01-C12</x:v>
      </x:c>
      <x:c r="B184" s="21" t="str">
        <x:v>F2-A01</x:v>
      </x:c>
      <x:c r="C184" s="21" t="str">
        <x:v>F2</x:v>
      </x:c>
      <x:c r="D184" s="21" t="str">
        <x:v>TR-B</x:v>
      </x:c>
      <x:c r="E184" s="21" t="str">
        <x:v>retained-sample identity</x:v>
      </x:c>
      <x:c r="F184" s="21" t="str"/>
      <x:c r="G184" s="21" t="str"/>
      <x:c r="H184" s="21" t="str">
        <x:v>OPEN</x:v>
      </x:c>
      <x:c r="I184" s="21" t="str"/>
    </x:row>
    <x:row r="185">
      <x:c r="A185" s="21" t="str">
        <x:v>F2-A02-C01</x:v>
      </x:c>
      <x:c r="B185" s="21" t="str">
        <x:v>F2-A02</x:v>
      </x:c>
      <x:c r="C185" s="21" t="str">
        <x:v>F2</x:v>
      </x:c>
      <x:c r="D185" s="21" t="str">
        <x:v>TR-B</x:v>
      </x:c>
      <x:c r="E185" s="21" t="str">
        <x:v>gross mass</x:v>
      </x:c>
      <x:c r="F185" s="21" t="str"/>
      <x:c r="G185" s="21" t="str"/>
      <x:c r="H185" s="21" t="str">
        <x:v>OPEN</x:v>
      </x:c>
      <x:c r="I185" s="21" t="str"/>
    </x:row>
    <x:row r="186">
      <x:c r="A186" s="21" t="str">
        <x:v>F2-A02-C02</x:v>
      </x:c>
      <x:c r="B186" s="21" t="str">
        <x:v>F2-A02</x:v>
      </x:c>
      <x:c r="C186" s="21" t="str">
        <x:v>F2</x:v>
      </x:c>
      <x:c r="D186" s="21" t="str">
        <x:v>TR-B</x:v>
      </x:c>
      <x:c r="E186" s="21" t="str">
        <x:v>event mass</x:v>
      </x:c>
      <x:c r="F186" s="21" t="str"/>
      <x:c r="G186" s="21" t="str"/>
      <x:c r="H186" s="21" t="str">
        <x:v>OPEN</x:v>
      </x:c>
      <x:c r="I186" s="21" t="str"/>
    </x:row>
    <x:row r="187">
      <x:c r="A187" s="21" t="str">
        <x:v>F2-A02-C03</x:v>
      </x:c>
      <x:c r="B187" s="21" t="str">
        <x:v>F2-A02</x:v>
      </x:c>
      <x:c r="C187" s="21" t="str">
        <x:v>F2</x:v>
      </x:c>
      <x:c r="D187" s="21" t="str">
        <x:v>TR-B</x:v>
      </x:c>
      <x:c r="E187" s="21" t="str">
        <x:v>split masses</x:v>
      </x:c>
      <x:c r="F187" s="21" t="str"/>
      <x:c r="G187" s="21" t="str"/>
      <x:c r="H187" s="21" t="str">
        <x:v>OPEN</x:v>
      </x:c>
      <x:c r="I187" s="21" t="str"/>
    </x:row>
    <x:row r="188">
      <x:c r="A188" s="21" t="str">
        <x:v>F2-A02-C04</x:v>
      </x:c>
      <x:c r="B188" s="21" t="str">
        <x:v>F2-A02</x:v>
      </x:c>
      <x:c r="C188" s="21" t="str">
        <x:v>F2</x:v>
      </x:c>
      <x:c r="D188" s="21" t="str">
        <x:v>TR-B</x:v>
      </x:c>
      <x:c r="E188" s="21" t="str">
        <x:v>density</x:v>
      </x:c>
      <x:c r="F188" s="21" t="str"/>
      <x:c r="G188" s="21" t="str"/>
      <x:c r="H188" s="21" t="str">
        <x:v>OPEN</x:v>
      </x:c>
      <x:c r="I188" s="21" t="str"/>
    </x:row>
    <x:row r="189">
      <x:c r="A189" s="21" t="str">
        <x:v>F2-A02-C05</x:v>
      </x:c>
      <x:c r="B189" s="21" t="str">
        <x:v>F2-A02</x:v>
      </x:c>
      <x:c r="C189" s="21" t="str">
        <x:v>F2</x:v>
      </x:c>
      <x:c r="D189" s="21" t="str">
        <x:v>TR-B</x:v>
      </x:c>
      <x:c r="E189" s="21" t="str">
        <x:v>viscosity</x:v>
      </x:c>
      <x:c r="F189" s="21" t="str"/>
      <x:c r="G189" s="21" t="str"/>
      <x:c r="H189" s="21" t="str">
        <x:v>OPEN</x:v>
      </x:c>
      <x:c r="I189" s="21" t="str"/>
    </x:row>
    <x:row r="190">
      <x:c r="A190" s="21" t="str">
        <x:v>F2-A02-C06</x:v>
      </x:c>
      <x:c r="B190" s="21" t="str">
        <x:v>F2-A02</x:v>
      </x:c>
      <x:c r="C190" s="21" t="str">
        <x:v>F2</x:v>
      </x:c>
      <x:c r="D190" s="21" t="str">
        <x:v>TR-B</x:v>
      </x:c>
      <x:c r="E190" s="21" t="str">
        <x:v>surface tension</x:v>
      </x:c>
      <x:c r="F190" s="21" t="str"/>
      <x:c r="G190" s="21" t="str"/>
      <x:c r="H190" s="21" t="str">
        <x:v>OPEN</x:v>
      </x:c>
      <x:c r="I190" s="21" t="str"/>
    </x:row>
    <x:row r="191">
      <x:c r="A191" s="21" t="str">
        <x:v>F2-A02-C07</x:v>
      </x:c>
      <x:c r="B191" s="21" t="str">
        <x:v>F2-A02</x:v>
      </x:c>
      <x:c r="C191" s="21" t="str">
        <x:v>F2</x:v>
      </x:c>
      <x:c r="D191" s="21" t="str">
        <x:v>TR-B</x:v>
      </x:c>
      <x:c r="E191" s="21" t="str">
        <x:v>temperature</x:v>
      </x:c>
      <x:c r="F191" s="21" t="str"/>
      <x:c r="G191" s="21" t="str"/>
      <x:c r="H191" s="21" t="str">
        <x:v>OPEN</x:v>
      </x:c>
      <x:c r="I191" s="21" t="str"/>
    </x:row>
    <x:row r="192">
      <x:c r="A192" s="21" t="str">
        <x:v>F2-A02-C08</x:v>
      </x:c>
      <x:c r="B192" s="21" t="str">
        <x:v>F2-A02</x:v>
      </x:c>
      <x:c r="C192" s="21" t="str">
        <x:v>F2</x:v>
      </x:c>
      <x:c r="D192" s="21" t="str">
        <x:v>TR-B</x:v>
      </x:c>
      <x:c r="E192" s="21" t="str">
        <x:v>water fraction</x:v>
      </x:c>
      <x:c r="F192" s="21" t="str"/>
      <x:c r="G192" s="21" t="str"/>
      <x:c r="H192" s="21" t="str">
        <x:v>OPEN</x:v>
      </x:c>
      <x:c r="I192" s="21" t="str"/>
    </x:row>
    <x:row r="193">
      <x:c r="A193" s="21" t="str">
        <x:v>F2-A02-C09</x:v>
      </x:c>
      <x:c r="B193" s="21" t="str">
        <x:v>F2-A02</x:v>
      </x:c>
      <x:c r="C193" s="21" t="str">
        <x:v>F2</x:v>
      </x:c>
      <x:c r="D193" s="21" t="str">
        <x:v>TR-B</x:v>
      </x:c>
      <x:c r="E193" s="21" t="str">
        <x:v>foreign solids</x:v>
      </x:c>
      <x:c r="F193" s="21" t="str"/>
      <x:c r="G193" s="21" t="str"/>
      <x:c r="H193" s="21" t="str">
        <x:v>OPEN</x:v>
      </x:c>
      <x:c r="I193" s="21" t="str"/>
    </x:row>
    <x:row r="194">
      <x:c r="A194" s="21" t="str">
        <x:v>F2-A02-C10</x:v>
      </x:c>
      <x:c r="B194" s="21" t="str">
        <x:v>F2-A02</x:v>
      </x:c>
      <x:c r="C194" s="21" t="str">
        <x:v>F2</x:v>
      </x:c>
      <x:c r="D194" s="21" t="str">
        <x:v>TR-B</x:v>
      </x:c>
      <x:c r="E194" s="21" t="str">
        <x:v>ancestry recovery</x:v>
      </x:c>
      <x:c r="F194" s="21" t="str"/>
      <x:c r="G194" s="21" t="str"/>
      <x:c r="H194" s="21" t="str">
        <x:v>OPEN</x:v>
      </x:c>
      <x:c r="I194" s="21" t="str"/>
    </x:row>
    <x:row r="195">
      <x:c r="A195" s="21" t="str">
        <x:v>F2-A02-C11</x:v>
      </x:c>
      <x:c r="B195" s="21" t="str">
        <x:v>F2-A02</x:v>
      </x:c>
      <x:c r="C195" s="21" t="str">
        <x:v>F2</x:v>
      </x:c>
      <x:c r="D195" s="21" t="str">
        <x:v>TR-B</x:v>
      </x:c>
      <x:c r="E195" s="21" t="str">
        <x:v>custody seal</x:v>
      </x:c>
      <x:c r="F195" s="21" t="str"/>
      <x:c r="G195" s="21" t="str"/>
      <x:c r="H195" s="21" t="str">
        <x:v>OPEN</x:v>
      </x:c>
      <x:c r="I195" s="21" t="str"/>
    </x:row>
    <x:row r="196">
      <x:c r="A196" s="21" t="str">
        <x:v>F2-A02-C12</x:v>
      </x:c>
      <x:c r="B196" s="21" t="str">
        <x:v>F2-A02</x:v>
      </x:c>
      <x:c r="C196" s="21" t="str">
        <x:v>F2</x:v>
      </x:c>
      <x:c r="D196" s="21" t="str">
        <x:v>TR-B</x:v>
      </x:c>
      <x:c r="E196" s="21" t="str">
        <x:v>retained-sample identity</x:v>
      </x:c>
      <x:c r="F196" s="21" t="str"/>
      <x:c r="G196" s="21" t="str"/>
      <x:c r="H196" s="21" t="str">
        <x:v>OPEN</x:v>
      </x:c>
      <x:c r="I196" s="21" t="str"/>
    </x:row>
    <x:row r="197">
      <x:c r="A197" s="21" t="str">
        <x:v>F2-A03-C01</x:v>
      </x:c>
      <x:c r="B197" s="21" t="str">
        <x:v>F2-A03</x:v>
      </x:c>
      <x:c r="C197" s="21" t="str">
        <x:v>F2</x:v>
      </x:c>
      <x:c r="D197" s="21" t="str">
        <x:v>TR-B</x:v>
      </x:c>
      <x:c r="E197" s="21" t="str">
        <x:v>gross mass</x:v>
      </x:c>
      <x:c r="F197" s="21" t="str"/>
      <x:c r="G197" s="21" t="str"/>
      <x:c r="H197" s="21" t="str">
        <x:v>OPEN</x:v>
      </x:c>
      <x:c r="I197" s="21" t="str"/>
    </x:row>
    <x:row r="198">
      <x:c r="A198" s="21" t="str">
        <x:v>F2-A03-C02</x:v>
      </x:c>
      <x:c r="B198" s="21" t="str">
        <x:v>F2-A03</x:v>
      </x:c>
      <x:c r="C198" s="21" t="str">
        <x:v>F2</x:v>
      </x:c>
      <x:c r="D198" s="21" t="str">
        <x:v>TR-B</x:v>
      </x:c>
      <x:c r="E198" s="21" t="str">
        <x:v>event mass</x:v>
      </x:c>
      <x:c r="F198" s="21" t="str"/>
      <x:c r="G198" s="21" t="str"/>
      <x:c r="H198" s="21" t="str">
        <x:v>OPEN</x:v>
      </x:c>
      <x:c r="I198" s="21" t="str"/>
    </x:row>
    <x:row r="199">
      <x:c r="A199" s="21" t="str">
        <x:v>F2-A03-C03</x:v>
      </x:c>
      <x:c r="B199" s="21" t="str">
        <x:v>F2-A03</x:v>
      </x:c>
      <x:c r="C199" s="21" t="str">
        <x:v>F2</x:v>
      </x:c>
      <x:c r="D199" s="21" t="str">
        <x:v>TR-B</x:v>
      </x:c>
      <x:c r="E199" s="21" t="str">
        <x:v>split masses</x:v>
      </x:c>
      <x:c r="F199" s="21" t="str"/>
      <x:c r="G199" s="21" t="str"/>
      <x:c r="H199" s="21" t="str">
        <x:v>OPEN</x:v>
      </x:c>
      <x:c r="I199" s="21" t="str"/>
    </x:row>
    <x:row r="200">
      <x:c r="A200" s="21" t="str">
        <x:v>F2-A03-C04</x:v>
      </x:c>
      <x:c r="B200" s="21" t="str">
        <x:v>F2-A03</x:v>
      </x:c>
      <x:c r="C200" s="21" t="str">
        <x:v>F2</x:v>
      </x:c>
      <x:c r="D200" s="21" t="str">
        <x:v>TR-B</x:v>
      </x:c>
      <x:c r="E200" s="21" t="str">
        <x:v>density</x:v>
      </x:c>
      <x:c r="F200" s="21" t="str"/>
      <x:c r="G200" s="21" t="str"/>
      <x:c r="H200" s="21" t="str">
        <x:v>OPEN</x:v>
      </x:c>
      <x:c r="I200" s="21" t="str"/>
    </x:row>
    <x:row r="201">
      <x:c r="A201" s="21" t="str">
        <x:v>F2-A03-C05</x:v>
      </x:c>
      <x:c r="B201" s="21" t="str">
        <x:v>F2-A03</x:v>
      </x:c>
      <x:c r="C201" s="21" t="str">
        <x:v>F2</x:v>
      </x:c>
      <x:c r="D201" s="21" t="str">
        <x:v>TR-B</x:v>
      </x:c>
      <x:c r="E201" s="21" t="str">
        <x:v>viscosity</x:v>
      </x:c>
      <x:c r="F201" s="21" t="str"/>
      <x:c r="G201" s="21" t="str"/>
      <x:c r="H201" s="21" t="str">
        <x:v>OPEN</x:v>
      </x:c>
      <x:c r="I201" s="21" t="str"/>
    </x:row>
    <x:row r="202">
      <x:c r="A202" s="21" t="str">
        <x:v>F2-A03-C06</x:v>
      </x:c>
      <x:c r="B202" s="21" t="str">
        <x:v>F2-A03</x:v>
      </x:c>
      <x:c r="C202" s="21" t="str">
        <x:v>F2</x:v>
      </x:c>
      <x:c r="D202" s="21" t="str">
        <x:v>TR-B</x:v>
      </x:c>
      <x:c r="E202" s="21" t="str">
        <x:v>surface tension</x:v>
      </x:c>
      <x:c r="F202" s="21" t="str"/>
      <x:c r="G202" s="21" t="str"/>
      <x:c r="H202" s="21" t="str">
        <x:v>OPEN</x:v>
      </x:c>
      <x:c r="I202" s="21" t="str"/>
    </x:row>
    <x:row r="203">
      <x:c r="A203" s="21" t="str">
        <x:v>F2-A03-C07</x:v>
      </x:c>
      <x:c r="B203" s="21" t="str">
        <x:v>F2-A03</x:v>
      </x:c>
      <x:c r="C203" s="21" t="str">
        <x:v>F2</x:v>
      </x:c>
      <x:c r="D203" s="21" t="str">
        <x:v>TR-B</x:v>
      </x:c>
      <x:c r="E203" s="21" t="str">
        <x:v>temperature</x:v>
      </x:c>
      <x:c r="F203" s="21" t="str"/>
      <x:c r="G203" s="21" t="str"/>
      <x:c r="H203" s="21" t="str">
        <x:v>OPEN</x:v>
      </x:c>
      <x:c r="I203" s="21" t="str"/>
    </x:row>
    <x:row r="204">
      <x:c r="A204" s="21" t="str">
        <x:v>F2-A03-C08</x:v>
      </x:c>
      <x:c r="B204" s="21" t="str">
        <x:v>F2-A03</x:v>
      </x:c>
      <x:c r="C204" s="21" t="str">
        <x:v>F2</x:v>
      </x:c>
      <x:c r="D204" s="21" t="str">
        <x:v>TR-B</x:v>
      </x:c>
      <x:c r="E204" s="21" t="str">
        <x:v>water fraction</x:v>
      </x:c>
      <x:c r="F204" s="21" t="str"/>
      <x:c r="G204" s="21" t="str"/>
      <x:c r="H204" s="21" t="str">
        <x:v>OPEN</x:v>
      </x:c>
      <x:c r="I204" s="21" t="str"/>
    </x:row>
    <x:row r="205">
      <x:c r="A205" s="21" t="str">
        <x:v>F2-A03-C09</x:v>
      </x:c>
      <x:c r="B205" s="21" t="str">
        <x:v>F2-A03</x:v>
      </x:c>
      <x:c r="C205" s="21" t="str">
        <x:v>F2</x:v>
      </x:c>
      <x:c r="D205" s="21" t="str">
        <x:v>TR-B</x:v>
      </x:c>
      <x:c r="E205" s="21" t="str">
        <x:v>foreign solids</x:v>
      </x:c>
      <x:c r="F205" s="21" t="str"/>
      <x:c r="G205" s="21" t="str"/>
      <x:c r="H205" s="21" t="str">
        <x:v>OPEN</x:v>
      </x:c>
      <x:c r="I205" s="21" t="str"/>
    </x:row>
    <x:row r="206">
      <x:c r="A206" s="21" t="str">
        <x:v>F2-A03-C10</x:v>
      </x:c>
      <x:c r="B206" s="21" t="str">
        <x:v>F2-A03</x:v>
      </x:c>
      <x:c r="C206" s="21" t="str">
        <x:v>F2</x:v>
      </x:c>
      <x:c r="D206" s="21" t="str">
        <x:v>TR-B</x:v>
      </x:c>
      <x:c r="E206" s="21" t="str">
        <x:v>ancestry recovery</x:v>
      </x:c>
      <x:c r="F206" s="21" t="str"/>
      <x:c r="G206" s="21" t="str"/>
      <x:c r="H206" s="21" t="str">
        <x:v>OPEN</x:v>
      </x:c>
      <x:c r="I206" s="21" t="str"/>
    </x:row>
    <x:row r="207">
      <x:c r="A207" s="21" t="str">
        <x:v>F2-A03-C11</x:v>
      </x:c>
      <x:c r="B207" s="21" t="str">
        <x:v>F2-A03</x:v>
      </x:c>
      <x:c r="C207" s="21" t="str">
        <x:v>F2</x:v>
      </x:c>
      <x:c r="D207" s="21" t="str">
        <x:v>TR-B</x:v>
      </x:c>
      <x:c r="E207" s="21" t="str">
        <x:v>custody seal</x:v>
      </x:c>
      <x:c r="F207" s="21" t="str"/>
      <x:c r="G207" s="21" t="str"/>
      <x:c r="H207" s="21" t="str">
        <x:v>OPEN</x:v>
      </x:c>
      <x:c r="I207" s="21" t="str"/>
    </x:row>
    <x:row r="208">
      <x:c r="A208" s="21" t="str">
        <x:v>F2-A03-C12</x:v>
      </x:c>
      <x:c r="B208" s="21" t="str">
        <x:v>F2-A03</x:v>
      </x:c>
      <x:c r="C208" s="21" t="str">
        <x:v>F2</x:v>
      </x:c>
      <x:c r="D208" s="21" t="str">
        <x:v>TR-B</x:v>
      </x:c>
      <x:c r="E208" s="21" t="str">
        <x:v>retained-sample identity</x:v>
      </x:c>
      <x:c r="F208" s="21" t="str"/>
      <x:c r="G208" s="21" t="str"/>
      <x:c r="H208" s="21" t="str">
        <x:v>OPEN</x:v>
      </x:c>
      <x:c r="I208" s="21" t="str"/>
    </x:row>
    <x:row r="209">
      <x:c r="A209" s="21" t="str">
        <x:v>F2-A04-C01</x:v>
      </x:c>
      <x:c r="B209" s="21" t="str">
        <x:v>F2-A04</x:v>
      </x:c>
      <x:c r="C209" s="21" t="str">
        <x:v>F2</x:v>
      </x:c>
      <x:c r="D209" s="21" t="str">
        <x:v>TR-B</x:v>
      </x:c>
      <x:c r="E209" s="21" t="str">
        <x:v>gross mass</x:v>
      </x:c>
      <x:c r="F209" s="21" t="str"/>
      <x:c r="G209" s="21" t="str"/>
      <x:c r="H209" s="21" t="str">
        <x:v>OPEN</x:v>
      </x:c>
      <x:c r="I209" s="21" t="str"/>
    </x:row>
    <x:row r="210">
      <x:c r="A210" s="21" t="str">
        <x:v>F2-A04-C02</x:v>
      </x:c>
      <x:c r="B210" s="21" t="str">
        <x:v>F2-A04</x:v>
      </x:c>
      <x:c r="C210" s="21" t="str">
        <x:v>F2</x:v>
      </x:c>
      <x:c r="D210" s="21" t="str">
        <x:v>TR-B</x:v>
      </x:c>
      <x:c r="E210" s="21" t="str">
        <x:v>event mass</x:v>
      </x:c>
      <x:c r="F210" s="21" t="str"/>
      <x:c r="G210" s="21" t="str"/>
      <x:c r="H210" s="21" t="str">
        <x:v>OPEN</x:v>
      </x:c>
      <x:c r="I210" s="21" t="str"/>
    </x:row>
    <x:row r="211">
      <x:c r="A211" s="21" t="str">
        <x:v>F2-A04-C03</x:v>
      </x:c>
      <x:c r="B211" s="21" t="str">
        <x:v>F2-A04</x:v>
      </x:c>
      <x:c r="C211" s="21" t="str">
        <x:v>F2</x:v>
      </x:c>
      <x:c r="D211" s="21" t="str">
        <x:v>TR-B</x:v>
      </x:c>
      <x:c r="E211" s="21" t="str">
        <x:v>split masses</x:v>
      </x:c>
      <x:c r="F211" s="21" t="str"/>
      <x:c r="G211" s="21" t="str"/>
      <x:c r="H211" s="21" t="str">
        <x:v>OPEN</x:v>
      </x:c>
      <x:c r="I211" s="21" t="str"/>
    </x:row>
    <x:row r="212">
      <x:c r="A212" s="21" t="str">
        <x:v>F2-A04-C04</x:v>
      </x:c>
      <x:c r="B212" s="21" t="str">
        <x:v>F2-A04</x:v>
      </x:c>
      <x:c r="C212" s="21" t="str">
        <x:v>F2</x:v>
      </x:c>
      <x:c r="D212" s="21" t="str">
        <x:v>TR-B</x:v>
      </x:c>
      <x:c r="E212" s="21" t="str">
        <x:v>density</x:v>
      </x:c>
      <x:c r="F212" s="21" t="str"/>
      <x:c r="G212" s="21" t="str"/>
      <x:c r="H212" s="21" t="str">
        <x:v>OPEN</x:v>
      </x:c>
      <x:c r="I212" s="21" t="str"/>
    </x:row>
    <x:row r="213">
      <x:c r="A213" s="21" t="str">
        <x:v>F2-A04-C05</x:v>
      </x:c>
      <x:c r="B213" s="21" t="str">
        <x:v>F2-A04</x:v>
      </x:c>
      <x:c r="C213" s="21" t="str">
        <x:v>F2</x:v>
      </x:c>
      <x:c r="D213" s="21" t="str">
        <x:v>TR-B</x:v>
      </x:c>
      <x:c r="E213" s="21" t="str">
        <x:v>viscosity</x:v>
      </x:c>
      <x:c r="F213" s="21" t="str"/>
      <x:c r="G213" s="21" t="str"/>
      <x:c r="H213" s="21" t="str">
        <x:v>OPEN</x:v>
      </x:c>
      <x:c r="I213" s="21" t="str"/>
    </x:row>
    <x:row r="214">
      <x:c r="A214" s="21" t="str">
        <x:v>F2-A04-C06</x:v>
      </x:c>
      <x:c r="B214" s="21" t="str">
        <x:v>F2-A04</x:v>
      </x:c>
      <x:c r="C214" s="21" t="str">
        <x:v>F2</x:v>
      </x:c>
      <x:c r="D214" s="21" t="str">
        <x:v>TR-B</x:v>
      </x:c>
      <x:c r="E214" s="21" t="str">
        <x:v>surface tension</x:v>
      </x:c>
      <x:c r="F214" s="21" t="str"/>
      <x:c r="G214" s="21" t="str"/>
      <x:c r="H214" s="21" t="str">
        <x:v>OPEN</x:v>
      </x:c>
      <x:c r="I214" s="21" t="str"/>
    </x:row>
    <x:row r="215">
      <x:c r="A215" s="21" t="str">
        <x:v>F2-A04-C07</x:v>
      </x:c>
      <x:c r="B215" s="21" t="str">
        <x:v>F2-A04</x:v>
      </x:c>
      <x:c r="C215" s="21" t="str">
        <x:v>F2</x:v>
      </x:c>
      <x:c r="D215" s="21" t="str">
        <x:v>TR-B</x:v>
      </x:c>
      <x:c r="E215" s="21" t="str">
        <x:v>temperature</x:v>
      </x:c>
      <x:c r="F215" s="21" t="str"/>
      <x:c r="G215" s="21" t="str"/>
      <x:c r="H215" s="21" t="str">
        <x:v>OPEN</x:v>
      </x:c>
      <x:c r="I215" s="21" t="str"/>
    </x:row>
    <x:row r="216">
      <x:c r="A216" s="21" t="str">
        <x:v>F2-A04-C08</x:v>
      </x:c>
      <x:c r="B216" s="21" t="str">
        <x:v>F2-A04</x:v>
      </x:c>
      <x:c r="C216" s="21" t="str">
        <x:v>F2</x:v>
      </x:c>
      <x:c r="D216" s="21" t="str">
        <x:v>TR-B</x:v>
      </x:c>
      <x:c r="E216" s="21" t="str">
        <x:v>water fraction</x:v>
      </x:c>
      <x:c r="F216" s="21" t="str"/>
      <x:c r="G216" s="21" t="str"/>
      <x:c r="H216" s="21" t="str">
        <x:v>OPEN</x:v>
      </x:c>
      <x:c r="I216" s="21" t="str"/>
    </x:row>
    <x:row r="217">
      <x:c r="A217" s="21" t="str">
        <x:v>F2-A04-C09</x:v>
      </x:c>
      <x:c r="B217" s="21" t="str">
        <x:v>F2-A04</x:v>
      </x:c>
      <x:c r="C217" s="21" t="str">
        <x:v>F2</x:v>
      </x:c>
      <x:c r="D217" s="21" t="str">
        <x:v>TR-B</x:v>
      </x:c>
      <x:c r="E217" s="21" t="str">
        <x:v>foreign solids</x:v>
      </x:c>
      <x:c r="F217" s="21" t="str"/>
      <x:c r="G217" s="21" t="str"/>
      <x:c r="H217" s="21" t="str">
        <x:v>OPEN</x:v>
      </x:c>
      <x:c r="I217" s="21" t="str"/>
    </x:row>
    <x:row r="218">
      <x:c r="A218" s="21" t="str">
        <x:v>F2-A04-C10</x:v>
      </x:c>
      <x:c r="B218" s="21" t="str">
        <x:v>F2-A04</x:v>
      </x:c>
      <x:c r="C218" s="21" t="str">
        <x:v>F2</x:v>
      </x:c>
      <x:c r="D218" s="21" t="str">
        <x:v>TR-B</x:v>
      </x:c>
      <x:c r="E218" s="21" t="str">
        <x:v>ancestry recovery</x:v>
      </x:c>
      <x:c r="F218" s="21" t="str"/>
      <x:c r="G218" s="21" t="str"/>
      <x:c r="H218" s="21" t="str">
        <x:v>OPEN</x:v>
      </x:c>
      <x:c r="I218" s="21" t="str"/>
    </x:row>
    <x:row r="219">
      <x:c r="A219" s="21" t="str">
        <x:v>F2-A04-C11</x:v>
      </x:c>
      <x:c r="B219" s="21" t="str">
        <x:v>F2-A04</x:v>
      </x:c>
      <x:c r="C219" s="21" t="str">
        <x:v>F2</x:v>
      </x:c>
      <x:c r="D219" s="21" t="str">
        <x:v>TR-B</x:v>
      </x:c>
      <x:c r="E219" s="21" t="str">
        <x:v>custody seal</x:v>
      </x:c>
      <x:c r="F219" s="21" t="str"/>
      <x:c r="G219" s="21" t="str"/>
      <x:c r="H219" s="21" t="str">
        <x:v>OPEN</x:v>
      </x:c>
      <x:c r="I219" s="21" t="str"/>
    </x:row>
    <x:row r="220">
      <x:c r="A220" s="21" t="str">
        <x:v>F2-A04-C12</x:v>
      </x:c>
      <x:c r="B220" s="21" t="str">
        <x:v>F2-A04</x:v>
      </x:c>
      <x:c r="C220" s="21" t="str">
        <x:v>F2</x:v>
      </x:c>
      <x:c r="D220" s="21" t="str">
        <x:v>TR-B</x:v>
      </x:c>
      <x:c r="E220" s="21" t="str">
        <x:v>retained-sample identity</x:v>
      </x:c>
      <x:c r="F220" s="21" t="str"/>
      <x:c r="G220" s="21" t="str"/>
      <x:c r="H220" s="21" t="str">
        <x:v>OPEN</x:v>
      </x:c>
      <x:c r="I220" s="21" t="str"/>
    </x:row>
    <x:row r="221">
      <x:c r="A221" s="21" t="str">
        <x:v>F2-A05-C01</x:v>
      </x:c>
      <x:c r="B221" s="21" t="str">
        <x:v>F2-A05</x:v>
      </x:c>
      <x:c r="C221" s="21" t="str">
        <x:v>F2</x:v>
      </x:c>
      <x:c r="D221" s="21" t="str">
        <x:v>TR-B</x:v>
      </x:c>
      <x:c r="E221" s="21" t="str">
        <x:v>gross mass</x:v>
      </x:c>
      <x:c r="F221" s="21" t="str"/>
      <x:c r="G221" s="21" t="str"/>
      <x:c r="H221" s="21" t="str">
        <x:v>OPEN</x:v>
      </x:c>
      <x:c r="I221" s="21" t="str"/>
    </x:row>
    <x:row r="222">
      <x:c r="A222" s="21" t="str">
        <x:v>F2-A05-C02</x:v>
      </x:c>
      <x:c r="B222" s="21" t="str">
        <x:v>F2-A05</x:v>
      </x:c>
      <x:c r="C222" s="21" t="str">
        <x:v>F2</x:v>
      </x:c>
      <x:c r="D222" s="21" t="str">
        <x:v>TR-B</x:v>
      </x:c>
      <x:c r="E222" s="21" t="str">
        <x:v>event mass</x:v>
      </x:c>
      <x:c r="F222" s="21" t="str"/>
      <x:c r="G222" s="21" t="str"/>
      <x:c r="H222" s="21" t="str">
        <x:v>OPEN</x:v>
      </x:c>
      <x:c r="I222" s="21" t="str"/>
    </x:row>
    <x:row r="223">
      <x:c r="A223" s="21" t="str">
        <x:v>F2-A05-C03</x:v>
      </x:c>
      <x:c r="B223" s="21" t="str">
        <x:v>F2-A05</x:v>
      </x:c>
      <x:c r="C223" s="21" t="str">
        <x:v>F2</x:v>
      </x:c>
      <x:c r="D223" s="21" t="str">
        <x:v>TR-B</x:v>
      </x:c>
      <x:c r="E223" s="21" t="str">
        <x:v>split masses</x:v>
      </x:c>
      <x:c r="F223" s="21" t="str"/>
      <x:c r="G223" s="21" t="str"/>
      <x:c r="H223" s="21" t="str">
        <x:v>OPEN</x:v>
      </x:c>
      <x:c r="I223" s="21" t="str"/>
    </x:row>
    <x:row r="224">
      <x:c r="A224" s="21" t="str">
        <x:v>F2-A05-C04</x:v>
      </x:c>
      <x:c r="B224" s="21" t="str">
        <x:v>F2-A05</x:v>
      </x:c>
      <x:c r="C224" s="21" t="str">
        <x:v>F2</x:v>
      </x:c>
      <x:c r="D224" s="21" t="str">
        <x:v>TR-B</x:v>
      </x:c>
      <x:c r="E224" s="21" t="str">
        <x:v>density</x:v>
      </x:c>
      <x:c r="F224" s="21" t="str"/>
      <x:c r="G224" s="21" t="str"/>
      <x:c r="H224" s="21" t="str">
        <x:v>OPEN</x:v>
      </x:c>
      <x:c r="I224" s="21" t="str"/>
    </x:row>
    <x:row r="225">
      <x:c r="A225" s="21" t="str">
        <x:v>F2-A05-C05</x:v>
      </x:c>
      <x:c r="B225" s="21" t="str">
        <x:v>F2-A05</x:v>
      </x:c>
      <x:c r="C225" s="21" t="str">
        <x:v>F2</x:v>
      </x:c>
      <x:c r="D225" s="21" t="str">
        <x:v>TR-B</x:v>
      </x:c>
      <x:c r="E225" s="21" t="str">
        <x:v>viscosity</x:v>
      </x:c>
      <x:c r="F225" s="21" t="str"/>
      <x:c r="G225" s="21" t="str"/>
      <x:c r="H225" s="21" t="str">
        <x:v>OPEN</x:v>
      </x:c>
      <x:c r="I225" s="21" t="str"/>
    </x:row>
    <x:row r="226">
      <x:c r="A226" s="21" t="str">
        <x:v>F2-A05-C06</x:v>
      </x:c>
      <x:c r="B226" s="21" t="str">
        <x:v>F2-A05</x:v>
      </x:c>
      <x:c r="C226" s="21" t="str">
        <x:v>F2</x:v>
      </x:c>
      <x:c r="D226" s="21" t="str">
        <x:v>TR-B</x:v>
      </x:c>
      <x:c r="E226" s="21" t="str">
        <x:v>surface tension</x:v>
      </x:c>
      <x:c r="F226" s="21" t="str"/>
      <x:c r="G226" s="21" t="str"/>
      <x:c r="H226" s="21" t="str">
        <x:v>OPEN</x:v>
      </x:c>
      <x:c r="I226" s="21" t="str"/>
    </x:row>
    <x:row r="227">
      <x:c r="A227" s="21" t="str">
        <x:v>F2-A05-C07</x:v>
      </x:c>
      <x:c r="B227" s="21" t="str">
        <x:v>F2-A05</x:v>
      </x:c>
      <x:c r="C227" s="21" t="str">
        <x:v>F2</x:v>
      </x:c>
      <x:c r="D227" s="21" t="str">
        <x:v>TR-B</x:v>
      </x:c>
      <x:c r="E227" s="21" t="str">
        <x:v>temperature</x:v>
      </x:c>
      <x:c r="F227" s="21" t="str"/>
      <x:c r="G227" s="21" t="str"/>
      <x:c r="H227" s="21" t="str">
        <x:v>OPEN</x:v>
      </x:c>
      <x:c r="I227" s="21" t="str"/>
    </x:row>
    <x:row r="228">
      <x:c r="A228" s="21" t="str">
        <x:v>F2-A05-C08</x:v>
      </x:c>
      <x:c r="B228" s="21" t="str">
        <x:v>F2-A05</x:v>
      </x:c>
      <x:c r="C228" s="21" t="str">
        <x:v>F2</x:v>
      </x:c>
      <x:c r="D228" s="21" t="str">
        <x:v>TR-B</x:v>
      </x:c>
      <x:c r="E228" s="21" t="str">
        <x:v>water fraction</x:v>
      </x:c>
      <x:c r="F228" s="21" t="str"/>
      <x:c r="G228" s="21" t="str"/>
      <x:c r="H228" s="21" t="str">
        <x:v>OPEN</x:v>
      </x:c>
      <x:c r="I228" s="21" t="str"/>
    </x:row>
    <x:row r="229">
      <x:c r="A229" s="21" t="str">
        <x:v>F2-A05-C09</x:v>
      </x:c>
      <x:c r="B229" s="21" t="str">
        <x:v>F2-A05</x:v>
      </x:c>
      <x:c r="C229" s="21" t="str">
        <x:v>F2</x:v>
      </x:c>
      <x:c r="D229" s="21" t="str">
        <x:v>TR-B</x:v>
      </x:c>
      <x:c r="E229" s="21" t="str">
        <x:v>foreign solids</x:v>
      </x:c>
      <x:c r="F229" s="21" t="str"/>
      <x:c r="G229" s="21" t="str"/>
      <x:c r="H229" s="21" t="str">
        <x:v>OPEN</x:v>
      </x:c>
      <x:c r="I229" s="21" t="str"/>
    </x:row>
    <x:row r="230">
      <x:c r="A230" s="21" t="str">
        <x:v>F2-A05-C10</x:v>
      </x:c>
      <x:c r="B230" s="21" t="str">
        <x:v>F2-A05</x:v>
      </x:c>
      <x:c r="C230" s="21" t="str">
        <x:v>F2</x:v>
      </x:c>
      <x:c r="D230" s="21" t="str">
        <x:v>TR-B</x:v>
      </x:c>
      <x:c r="E230" s="21" t="str">
        <x:v>ancestry recovery</x:v>
      </x:c>
      <x:c r="F230" s="21" t="str"/>
      <x:c r="G230" s="21" t="str"/>
      <x:c r="H230" s="21" t="str">
        <x:v>OPEN</x:v>
      </x:c>
      <x:c r="I230" s="21" t="str"/>
    </x:row>
    <x:row r="231">
      <x:c r="A231" s="21" t="str">
        <x:v>F2-A05-C11</x:v>
      </x:c>
      <x:c r="B231" s="21" t="str">
        <x:v>F2-A05</x:v>
      </x:c>
      <x:c r="C231" s="21" t="str">
        <x:v>F2</x:v>
      </x:c>
      <x:c r="D231" s="21" t="str">
        <x:v>TR-B</x:v>
      </x:c>
      <x:c r="E231" s="21" t="str">
        <x:v>custody seal</x:v>
      </x:c>
      <x:c r="F231" s="21" t="str"/>
      <x:c r="G231" s="21" t="str"/>
      <x:c r="H231" s="21" t="str">
        <x:v>OPEN</x:v>
      </x:c>
      <x:c r="I231" s="21" t="str"/>
    </x:row>
    <x:row r="232">
      <x:c r="A232" s="21" t="str">
        <x:v>F2-A05-C12</x:v>
      </x:c>
      <x:c r="B232" s="21" t="str">
        <x:v>F2-A05</x:v>
      </x:c>
      <x:c r="C232" s="21" t="str">
        <x:v>F2</x:v>
      </x:c>
      <x:c r="D232" s="21" t="str">
        <x:v>TR-B</x:v>
      </x:c>
      <x:c r="E232" s="21" t="str">
        <x:v>retained-sample identity</x:v>
      </x:c>
      <x:c r="F232" s="21" t="str"/>
      <x:c r="G232" s="21" t="str"/>
      <x:c r="H232" s="21" t="str">
        <x:v>OPEN</x:v>
      </x:c>
      <x:c r="I232" s="21" t="str"/>
    </x:row>
    <x:row r="233">
      <x:c r="A233" s="21" t="str">
        <x:v>F2-A06-C01</x:v>
      </x:c>
      <x:c r="B233" s="21" t="str">
        <x:v>F2-A06</x:v>
      </x:c>
      <x:c r="C233" s="21" t="str">
        <x:v>F2</x:v>
      </x:c>
      <x:c r="D233" s="21" t="str">
        <x:v>TR-B</x:v>
      </x:c>
      <x:c r="E233" s="21" t="str">
        <x:v>gross mass</x:v>
      </x:c>
      <x:c r="F233" s="21" t="str"/>
      <x:c r="G233" s="21" t="str"/>
      <x:c r="H233" s="21" t="str">
        <x:v>OPEN</x:v>
      </x:c>
      <x:c r="I233" s="21" t="str"/>
    </x:row>
    <x:row r="234">
      <x:c r="A234" s="21" t="str">
        <x:v>F2-A06-C02</x:v>
      </x:c>
      <x:c r="B234" s="21" t="str">
        <x:v>F2-A06</x:v>
      </x:c>
      <x:c r="C234" s="21" t="str">
        <x:v>F2</x:v>
      </x:c>
      <x:c r="D234" s="21" t="str">
        <x:v>TR-B</x:v>
      </x:c>
      <x:c r="E234" s="21" t="str">
        <x:v>event mass</x:v>
      </x:c>
      <x:c r="F234" s="21" t="str"/>
      <x:c r="G234" s="21" t="str"/>
      <x:c r="H234" s="21" t="str">
        <x:v>OPEN</x:v>
      </x:c>
      <x:c r="I234" s="21" t="str"/>
    </x:row>
    <x:row r="235">
      <x:c r="A235" s="21" t="str">
        <x:v>F2-A06-C03</x:v>
      </x:c>
      <x:c r="B235" s="21" t="str">
        <x:v>F2-A06</x:v>
      </x:c>
      <x:c r="C235" s="21" t="str">
        <x:v>F2</x:v>
      </x:c>
      <x:c r="D235" s="21" t="str">
        <x:v>TR-B</x:v>
      </x:c>
      <x:c r="E235" s="21" t="str">
        <x:v>split masses</x:v>
      </x:c>
      <x:c r="F235" s="21" t="str"/>
      <x:c r="G235" s="21" t="str"/>
      <x:c r="H235" s="21" t="str">
        <x:v>OPEN</x:v>
      </x:c>
      <x:c r="I235" s="21" t="str"/>
    </x:row>
    <x:row r="236">
      <x:c r="A236" s="21" t="str">
        <x:v>F2-A06-C04</x:v>
      </x:c>
      <x:c r="B236" s="21" t="str">
        <x:v>F2-A06</x:v>
      </x:c>
      <x:c r="C236" s="21" t="str">
        <x:v>F2</x:v>
      </x:c>
      <x:c r="D236" s="21" t="str">
        <x:v>TR-B</x:v>
      </x:c>
      <x:c r="E236" s="21" t="str">
        <x:v>density</x:v>
      </x:c>
      <x:c r="F236" s="21" t="str"/>
      <x:c r="G236" s="21" t="str"/>
      <x:c r="H236" s="21" t="str">
        <x:v>OPEN</x:v>
      </x:c>
      <x:c r="I236" s="21" t="str"/>
    </x:row>
    <x:row r="237">
      <x:c r="A237" s="21" t="str">
        <x:v>F2-A06-C05</x:v>
      </x:c>
      <x:c r="B237" s="21" t="str">
        <x:v>F2-A06</x:v>
      </x:c>
      <x:c r="C237" s="21" t="str">
        <x:v>F2</x:v>
      </x:c>
      <x:c r="D237" s="21" t="str">
        <x:v>TR-B</x:v>
      </x:c>
      <x:c r="E237" s="21" t="str">
        <x:v>viscosity</x:v>
      </x:c>
      <x:c r="F237" s="21" t="str"/>
      <x:c r="G237" s="21" t="str"/>
      <x:c r="H237" s="21" t="str">
        <x:v>OPEN</x:v>
      </x:c>
      <x:c r="I237" s="21" t="str"/>
    </x:row>
    <x:row r="238">
      <x:c r="A238" s="21" t="str">
        <x:v>F2-A06-C06</x:v>
      </x:c>
      <x:c r="B238" s="21" t="str">
        <x:v>F2-A06</x:v>
      </x:c>
      <x:c r="C238" s="21" t="str">
        <x:v>F2</x:v>
      </x:c>
      <x:c r="D238" s="21" t="str">
        <x:v>TR-B</x:v>
      </x:c>
      <x:c r="E238" s="21" t="str">
        <x:v>surface tension</x:v>
      </x:c>
      <x:c r="F238" s="21" t="str"/>
      <x:c r="G238" s="21" t="str"/>
      <x:c r="H238" s="21" t="str">
        <x:v>OPEN</x:v>
      </x:c>
      <x:c r="I238" s="21" t="str"/>
    </x:row>
    <x:row r="239">
      <x:c r="A239" s="21" t="str">
        <x:v>F2-A06-C07</x:v>
      </x:c>
      <x:c r="B239" s="21" t="str">
        <x:v>F2-A06</x:v>
      </x:c>
      <x:c r="C239" s="21" t="str">
        <x:v>F2</x:v>
      </x:c>
      <x:c r="D239" s="21" t="str">
        <x:v>TR-B</x:v>
      </x:c>
      <x:c r="E239" s="21" t="str">
        <x:v>temperature</x:v>
      </x:c>
      <x:c r="F239" s="21" t="str"/>
      <x:c r="G239" s="21" t="str"/>
      <x:c r="H239" s="21" t="str">
        <x:v>OPEN</x:v>
      </x:c>
      <x:c r="I239" s="21" t="str"/>
    </x:row>
    <x:row r="240">
      <x:c r="A240" s="21" t="str">
        <x:v>F2-A06-C08</x:v>
      </x:c>
      <x:c r="B240" s="21" t="str">
        <x:v>F2-A06</x:v>
      </x:c>
      <x:c r="C240" s="21" t="str">
        <x:v>F2</x:v>
      </x:c>
      <x:c r="D240" s="21" t="str">
        <x:v>TR-B</x:v>
      </x:c>
      <x:c r="E240" s="21" t="str">
        <x:v>water fraction</x:v>
      </x:c>
      <x:c r="F240" s="21" t="str"/>
      <x:c r="G240" s="21" t="str"/>
      <x:c r="H240" s="21" t="str">
        <x:v>OPEN</x:v>
      </x:c>
      <x:c r="I240" s="21" t="str"/>
    </x:row>
    <x:row r="241">
      <x:c r="A241" s="21" t="str">
        <x:v>F2-A06-C09</x:v>
      </x:c>
      <x:c r="B241" s="21" t="str">
        <x:v>F2-A06</x:v>
      </x:c>
      <x:c r="C241" s="21" t="str">
        <x:v>F2</x:v>
      </x:c>
      <x:c r="D241" s="21" t="str">
        <x:v>TR-B</x:v>
      </x:c>
      <x:c r="E241" s="21" t="str">
        <x:v>foreign solids</x:v>
      </x:c>
      <x:c r="F241" s="21" t="str"/>
      <x:c r="G241" s="21" t="str"/>
      <x:c r="H241" s="21" t="str">
        <x:v>OPEN</x:v>
      </x:c>
      <x:c r="I241" s="21" t="str"/>
    </x:row>
    <x:row r="242">
      <x:c r="A242" s="21" t="str">
        <x:v>F2-A06-C10</x:v>
      </x:c>
      <x:c r="B242" s="21" t="str">
        <x:v>F2-A06</x:v>
      </x:c>
      <x:c r="C242" s="21" t="str">
        <x:v>F2</x:v>
      </x:c>
      <x:c r="D242" s="21" t="str">
        <x:v>TR-B</x:v>
      </x:c>
      <x:c r="E242" s="21" t="str">
        <x:v>ancestry recovery</x:v>
      </x:c>
      <x:c r="F242" s="21" t="str"/>
      <x:c r="G242" s="21" t="str"/>
      <x:c r="H242" s="21" t="str">
        <x:v>OPEN</x:v>
      </x:c>
      <x:c r="I242" s="21" t="str"/>
    </x:row>
    <x:row r="243">
      <x:c r="A243" s="21" t="str">
        <x:v>F2-A06-C11</x:v>
      </x:c>
      <x:c r="B243" s="21" t="str">
        <x:v>F2-A06</x:v>
      </x:c>
      <x:c r="C243" s="21" t="str">
        <x:v>F2</x:v>
      </x:c>
      <x:c r="D243" s="21" t="str">
        <x:v>TR-B</x:v>
      </x:c>
      <x:c r="E243" s="21" t="str">
        <x:v>custody seal</x:v>
      </x:c>
      <x:c r="F243" s="21" t="str"/>
      <x:c r="G243" s="21" t="str"/>
      <x:c r="H243" s="21" t="str">
        <x:v>OPEN</x:v>
      </x:c>
      <x:c r="I243" s="21" t="str"/>
    </x:row>
    <x:row r="244">
      <x:c r="A244" s="21" t="str">
        <x:v>F2-A06-C12</x:v>
      </x:c>
      <x:c r="B244" s="21" t="str">
        <x:v>F2-A06</x:v>
      </x:c>
      <x:c r="C244" s="21" t="str">
        <x:v>F2</x:v>
      </x:c>
      <x:c r="D244" s="21" t="str">
        <x:v>TR-B</x:v>
      </x:c>
      <x:c r="E244" s="21" t="str">
        <x:v>retained-sample identity</x:v>
      </x:c>
      <x:c r="F244" s="21" t="str"/>
      <x:c r="G244" s="21" t="str"/>
      <x:c r="H244" s="21" t="str">
        <x:v>OPEN</x:v>
      </x:c>
      <x:c r="I244" s="21" t="str"/>
    </x:row>
    <x:row r="245">
      <x:c r="A245" s="21" t="str">
        <x:v>F2-R01-C01</x:v>
      </x:c>
      <x:c r="B245" s="21" t="str">
        <x:v>F2-R01</x:v>
      </x:c>
      <x:c r="C245" s="21" t="str">
        <x:v>F2</x:v>
      </x:c>
      <x:c r="D245" s="21" t="str">
        <x:v>TR-B</x:v>
      </x:c>
      <x:c r="E245" s="21" t="str">
        <x:v>gross mass</x:v>
      </x:c>
      <x:c r="F245" s="21" t="str"/>
      <x:c r="G245" s="21" t="str"/>
      <x:c r="H245" s="21" t="str">
        <x:v>OPEN</x:v>
      </x:c>
      <x:c r="I245" s="21" t="str"/>
    </x:row>
    <x:row r="246">
      <x:c r="A246" s="21" t="str">
        <x:v>F2-R01-C02</x:v>
      </x:c>
      <x:c r="B246" s="21" t="str">
        <x:v>F2-R01</x:v>
      </x:c>
      <x:c r="C246" s="21" t="str">
        <x:v>F2</x:v>
      </x:c>
      <x:c r="D246" s="21" t="str">
        <x:v>TR-B</x:v>
      </x:c>
      <x:c r="E246" s="21" t="str">
        <x:v>event mass</x:v>
      </x:c>
      <x:c r="F246" s="21" t="str"/>
      <x:c r="G246" s="21" t="str"/>
      <x:c r="H246" s="21" t="str">
        <x:v>OPEN</x:v>
      </x:c>
      <x:c r="I246" s="21" t="str"/>
    </x:row>
    <x:row r="247">
      <x:c r="A247" s="21" t="str">
        <x:v>F2-R01-C03</x:v>
      </x:c>
      <x:c r="B247" s="21" t="str">
        <x:v>F2-R01</x:v>
      </x:c>
      <x:c r="C247" s="21" t="str">
        <x:v>F2</x:v>
      </x:c>
      <x:c r="D247" s="21" t="str">
        <x:v>TR-B</x:v>
      </x:c>
      <x:c r="E247" s="21" t="str">
        <x:v>split masses</x:v>
      </x:c>
      <x:c r="F247" s="21" t="str"/>
      <x:c r="G247" s="21" t="str"/>
      <x:c r="H247" s="21" t="str">
        <x:v>OPEN</x:v>
      </x:c>
      <x:c r="I247" s="21" t="str"/>
    </x:row>
    <x:row r="248">
      <x:c r="A248" s="21" t="str">
        <x:v>F2-R01-C04</x:v>
      </x:c>
      <x:c r="B248" s="21" t="str">
        <x:v>F2-R01</x:v>
      </x:c>
      <x:c r="C248" s="21" t="str">
        <x:v>F2</x:v>
      </x:c>
      <x:c r="D248" s="21" t="str">
        <x:v>TR-B</x:v>
      </x:c>
      <x:c r="E248" s="21" t="str">
        <x:v>density</x:v>
      </x:c>
      <x:c r="F248" s="21" t="str"/>
      <x:c r="G248" s="21" t="str"/>
      <x:c r="H248" s="21" t="str">
        <x:v>OPEN</x:v>
      </x:c>
      <x:c r="I248" s="21" t="str"/>
    </x:row>
    <x:row r="249">
      <x:c r="A249" s="21" t="str">
        <x:v>F2-R01-C05</x:v>
      </x:c>
      <x:c r="B249" s="21" t="str">
        <x:v>F2-R01</x:v>
      </x:c>
      <x:c r="C249" s="21" t="str">
        <x:v>F2</x:v>
      </x:c>
      <x:c r="D249" s="21" t="str">
        <x:v>TR-B</x:v>
      </x:c>
      <x:c r="E249" s="21" t="str">
        <x:v>viscosity</x:v>
      </x:c>
      <x:c r="F249" s="21" t="str"/>
      <x:c r="G249" s="21" t="str"/>
      <x:c r="H249" s="21" t="str">
        <x:v>OPEN</x:v>
      </x:c>
      <x:c r="I249" s="21" t="str"/>
    </x:row>
    <x:row r="250">
      <x:c r="A250" s="21" t="str">
        <x:v>F2-R01-C06</x:v>
      </x:c>
      <x:c r="B250" s="21" t="str">
        <x:v>F2-R01</x:v>
      </x:c>
      <x:c r="C250" s="21" t="str">
        <x:v>F2</x:v>
      </x:c>
      <x:c r="D250" s="21" t="str">
        <x:v>TR-B</x:v>
      </x:c>
      <x:c r="E250" s="21" t="str">
        <x:v>surface tension</x:v>
      </x:c>
      <x:c r="F250" s="21" t="str"/>
      <x:c r="G250" s="21" t="str"/>
      <x:c r="H250" s="21" t="str">
        <x:v>OPEN</x:v>
      </x:c>
      <x:c r="I250" s="21" t="str"/>
    </x:row>
    <x:row r="251">
      <x:c r="A251" s="21" t="str">
        <x:v>F2-R01-C07</x:v>
      </x:c>
      <x:c r="B251" s="21" t="str">
        <x:v>F2-R01</x:v>
      </x:c>
      <x:c r="C251" s="21" t="str">
        <x:v>F2</x:v>
      </x:c>
      <x:c r="D251" s="21" t="str">
        <x:v>TR-B</x:v>
      </x:c>
      <x:c r="E251" s="21" t="str">
        <x:v>temperature</x:v>
      </x:c>
      <x:c r="F251" s="21" t="str"/>
      <x:c r="G251" s="21" t="str"/>
      <x:c r="H251" s="21" t="str">
        <x:v>OPEN</x:v>
      </x:c>
      <x:c r="I251" s="21" t="str"/>
    </x:row>
    <x:row r="252">
      <x:c r="A252" s="21" t="str">
        <x:v>F2-R01-C08</x:v>
      </x:c>
      <x:c r="B252" s="21" t="str">
        <x:v>F2-R01</x:v>
      </x:c>
      <x:c r="C252" s="21" t="str">
        <x:v>F2</x:v>
      </x:c>
      <x:c r="D252" s="21" t="str">
        <x:v>TR-B</x:v>
      </x:c>
      <x:c r="E252" s="21" t="str">
        <x:v>water fraction</x:v>
      </x:c>
      <x:c r="F252" s="21" t="str"/>
      <x:c r="G252" s="21" t="str"/>
      <x:c r="H252" s="21" t="str">
        <x:v>OPEN</x:v>
      </x:c>
      <x:c r="I252" s="21" t="str"/>
    </x:row>
    <x:row r="253">
      <x:c r="A253" s="21" t="str">
        <x:v>F2-R01-C09</x:v>
      </x:c>
      <x:c r="B253" s="21" t="str">
        <x:v>F2-R01</x:v>
      </x:c>
      <x:c r="C253" s="21" t="str">
        <x:v>F2</x:v>
      </x:c>
      <x:c r="D253" s="21" t="str">
        <x:v>TR-B</x:v>
      </x:c>
      <x:c r="E253" s="21" t="str">
        <x:v>foreign solids</x:v>
      </x:c>
      <x:c r="F253" s="21" t="str"/>
      <x:c r="G253" s="21" t="str"/>
      <x:c r="H253" s="21" t="str">
        <x:v>OPEN</x:v>
      </x:c>
      <x:c r="I253" s="21" t="str"/>
    </x:row>
    <x:row r="254">
      <x:c r="A254" s="21" t="str">
        <x:v>F2-R01-C10</x:v>
      </x:c>
      <x:c r="B254" s="21" t="str">
        <x:v>F2-R01</x:v>
      </x:c>
      <x:c r="C254" s="21" t="str">
        <x:v>F2</x:v>
      </x:c>
      <x:c r="D254" s="21" t="str">
        <x:v>TR-B</x:v>
      </x:c>
      <x:c r="E254" s="21" t="str">
        <x:v>ancestry recovery</x:v>
      </x:c>
      <x:c r="F254" s="21" t="str"/>
      <x:c r="G254" s="21" t="str"/>
      <x:c r="H254" s="21" t="str">
        <x:v>OPEN</x:v>
      </x:c>
      <x:c r="I254" s="21" t="str"/>
    </x:row>
    <x:row r="255">
      <x:c r="A255" s="21" t="str">
        <x:v>F2-R01-C11</x:v>
      </x:c>
      <x:c r="B255" s="21" t="str">
        <x:v>F2-R01</x:v>
      </x:c>
      <x:c r="C255" s="21" t="str">
        <x:v>F2</x:v>
      </x:c>
      <x:c r="D255" s="21" t="str">
        <x:v>TR-B</x:v>
      </x:c>
      <x:c r="E255" s="21" t="str">
        <x:v>custody seal</x:v>
      </x:c>
      <x:c r="F255" s="21" t="str"/>
      <x:c r="G255" s="21" t="str"/>
      <x:c r="H255" s="21" t="str">
        <x:v>OPEN</x:v>
      </x:c>
      <x:c r="I255" s="21" t="str"/>
    </x:row>
    <x:row r="256">
      <x:c r="A256" s="21" t="str">
        <x:v>F2-R01-C12</x:v>
      </x:c>
      <x:c r="B256" s="21" t="str">
        <x:v>F2-R01</x:v>
      </x:c>
      <x:c r="C256" s="21" t="str">
        <x:v>F2</x:v>
      </x:c>
      <x:c r="D256" s="21" t="str">
        <x:v>TR-B</x:v>
      </x:c>
      <x:c r="E256" s="21" t="str">
        <x:v>retained-sample identity</x:v>
      </x:c>
      <x:c r="F256" s="21" t="str"/>
      <x:c r="G256" s="21" t="str"/>
      <x:c r="H256" s="21" t="str">
        <x:v>OPEN</x:v>
      </x:c>
      <x:c r="I256" s="21" t="str"/>
    </x:row>
    <x:row r="257">
      <x:c r="A257" s="21" t="str">
        <x:v>F2-R02-C01</x:v>
      </x:c>
      <x:c r="B257" s="21" t="str">
        <x:v>F2-R02</x:v>
      </x:c>
      <x:c r="C257" s="21" t="str">
        <x:v>F2</x:v>
      </x:c>
      <x:c r="D257" s="21" t="str">
        <x:v>TR-B</x:v>
      </x:c>
      <x:c r="E257" s="21" t="str">
        <x:v>gross mass</x:v>
      </x:c>
      <x:c r="F257" s="21" t="str"/>
      <x:c r="G257" s="21" t="str"/>
      <x:c r="H257" s="21" t="str">
        <x:v>OPEN</x:v>
      </x:c>
      <x:c r="I257" s="21" t="str"/>
    </x:row>
    <x:row r="258">
      <x:c r="A258" s="21" t="str">
        <x:v>F2-R02-C02</x:v>
      </x:c>
      <x:c r="B258" s="21" t="str">
        <x:v>F2-R02</x:v>
      </x:c>
      <x:c r="C258" s="21" t="str">
        <x:v>F2</x:v>
      </x:c>
      <x:c r="D258" s="21" t="str">
        <x:v>TR-B</x:v>
      </x:c>
      <x:c r="E258" s="21" t="str">
        <x:v>event mass</x:v>
      </x:c>
      <x:c r="F258" s="21" t="str"/>
      <x:c r="G258" s="21" t="str"/>
      <x:c r="H258" s="21" t="str">
        <x:v>OPEN</x:v>
      </x:c>
      <x:c r="I258" s="21" t="str"/>
    </x:row>
    <x:row r="259">
      <x:c r="A259" s="21" t="str">
        <x:v>F2-R02-C03</x:v>
      </x:c>
      <x:c r="B259" s="21" t="str">
        <x:v>F2-R02</x:v>
      </x:c>
      <x:c r="C259" s="21" t="str">
        <x:v>F2</x:v>
      </x:c>
      <x:c r="D259" s="21" t="str">
        <x:v>TR-B</x:v>
      </x:c>
      <x:c r="E259" s="21" t="str">
        <x:v>split masses</x:v>
      </x:c>
      <x:c r="F259" s="21" t="str"/>
      <x:c r="G259" s="21" t="str"/>
      <x:c r="H259" s="21" t="str">
        <x:v>OPEN</x:v>
      </x:c>
      <x:c r="I259" s="21" t="str"/>
    </x:row>
    <x:row r="260">
      <x:c r="A260" s="21" t="str">
        <x:v>F2-R02-C04</x:v>
      </x:c>
      <x:c r="B260" s="21" t="str">
        <x:v>F2-R02</x:v>
      </x:c>
      <x:c r="C260" s="21" t="str">
        <x:v>F2</x:v>
      </x:c>
      <x:c r="D260" s="21" t="str">
        <x:v>TR-B</x:v>
      </x:c>
      <x:c r="E260" s="21" t="str">
        <x:v>density</x:v>
      </x:c>
      <x:c r="F260" s="21" t="str"/>
      <x:c r="G260" s="21" t="str"/>
      <x:c r="H260" s="21" t="str">
        <x:v>OPEN</x:v>
      </x:c>
      <x:c r="I260" s="21" t="str"/>
    </x:row>
    <x:row r="261">
      <x:c r="A261" s="21" t="str">
        <x:v>F2-R02-C05</x:v>
      </x:c>
      <x:c r="B261" s="21" t="str">
        <x:v>F2-R02</x:v>
      </x:c>
      <x:c r="C261" s="21" t="str">
        <x:v>F2</x:v>
      </x:c>
      <x:c r="D261" s="21" t="str">
        <x:v>TR-B</x:v>
      </x:c>
      <x:c r="E261" s="21" t="str">
        <x:v>viscosity</x:v>
      </x:c>
      <x:c r="F261" s="21" t="str"/>
      <x:c r="G261" s="21" t="str"/>
      <x:c r="H261" s="21" t="str">
        <x:v>OPEN</x:v>
      </x:c>
      <x:c r="I261" s="21" t="str"/>
    </x:row>
    <x:row r="262">
      <x:c r="A262" s="21" t="str">
        <x:v>F2-R02-C06</x:v>
      </x:c>
      <x:c r="B262" s="21" t="str">
        <x:v>F2-R02</x:v>
      </x:c>
      <x:c r="C262" s="21" t="str">
        <x:v>F2</x:v>
      </x:c>
      <x:c r="D262" s="21" t="str">
        <x:v>TR-B</x:v>
      </x:c>
      <x:c r="E262" s="21" t="str">
        <x:v>surface tension</x:v>
      </x:c>
      <x:c r="F262" s="21" t="str"/>
      <x:c r="G262" s="21" t="str"/>
      <x:c r="H262" s="21" t="str">
        <x:v>OPEN</x:v>
      </x:c>
      <x:c r="I262" s="21" t="str"/>
    </x:row>
    <x:row r="263">
      <x:c r="A263" s="21" t="str">
        <x:v>F2-R02-C07</x:v>
      </x:c>
      <x:c r="B263" s="21" t="str">
        <x:v>F2-R02</x:v>
      </x:c>
      <x:c r="C263" s="21" t="str">
        <x:v>F2</x:v>
      </x:c>
      <x:c r="D263" s="21" t="str">
        <x:v>TR-B</x:v>
      </x:c>
      <x:c r="E263" s="21" t="str">
        <x:v>temperature</x:v>
      </x:c>
      <x:c r="F263" s="21" t="str"/>
      <x:c r="G263" s="21" t="str"/>
      <x:c r="H263" s="21" t="str">
        <x:v>OPEN</x:v>
      </x:c>
      <x:c r="I263" s="21" t="str"/>
    </x:row>
    <x:row r="264">
      <x:c r="A264" s="21" t="str">
        <x:v>F2-R02-C08</x:v>
      </x:c>
      <x:c r="B264" s="21" t="str">
        <x:v>F2-R02</x:v>
      </x:c>
      <x:c r="C264" s="21" t="str">
        <x:v>F2</x:v>
      </x:c>
      <x:c r="D264" s="21" t="str">
        <x:v>TR-B</x:v>
      </x:c>
      <x:c r="E264" s="21" t="str">
        <x:v>water fraction</x:v>
      </x:c>
      <x:c r="F264" s="21" t="str"/>
      <x:c r="G264" s="21" t="str"/>
      <x:c r="H264" s="21" t="str">
        <x:v>OPEN</x:v>
      </x:c>
      <x:c r="I264" s="21" t="str"/>
    </x:row>
    <x:row r="265">
      <x:c r="A265" s="21" t="str">
        <x:v>F2-R02-C09</x:v>
      </x:c>
      <x:c r="B265" s="21" t="str">
        <x:v>F2-R02</x:v>
      </x:c>
      <x:c r="C265" s="21" t="str">
        <x:v>F2</x:v>
      </x:c>
      <x:c r="D265" s="21" t="str">
        <x:v>TR-B</x:v>
      </x:c>
      <x:c r="E265" s="21" t="str">
        <x:v>foreign solids</x:v>
      </x:c>
      <x:c r="F265" s="21" t="str"/>
      <x:c r="G265" s="21" t="str"/>
      <x:c r="H265" s="21" t="str">
        <x:v>OPEN</x:v>
      </x:c>
      <x:c r="I265" s="21" t="str"/>
    </x:row>
    <x:row r="266">
      <x:c r="A266" s="21" t="str">
        <x:v>F2-R02-C10</x:v>
      </x:c>
      <x:c r="B266" s="21" t="str">
        <x:v>F2-R02</x:v>
      </x:c>
      <x:c r="C266" s="21" t="str">
        <x:v>F2</x:v>
      </x:c>
      <x:c r="D266" s="21" t="str">
        <x:v>TR-B</x:v>
      </x:c>
      <x:c r="E266" s="21" t="str">
        <x:v>ancestry recovery</x:v>
      </x:c>
      <x:c r="F266" s="21" t="str"/>
      <x:c r="G266" s="21" t="str"/>
      <x:c r="H266" s="21" t="str">
        <x:v>OPEN</x:v>
      </x:c>
      <x:c r="I266" s="21" t="str"/>
    </x:row>
    <x:row r="267">
      <x:c r="A267" s="21" t="str">
        <x:v>F2-R02-C11</x:v>
      </x:c>
      <x:c r="B267" s="21" t="str">
        <x:v>F2-R02</x:v>
      </x:c>
      <x:c r="C267" s="21" t="str">
        <x:v>F2</x:v>
      </x:c>
      <x:c r="D267" s="21" t="str">
        <x:v>TR-B</x:v>
      </x:c>
      <x:c r="E267" s="21" t="str">
        <x:v>custody seal</x:v>
      </x:c>
      <x:c r="F267" s="21" t="str"/>
      <x:c r="G267" s="21" t="str"/>
      <x:c r="H267" s="21" t="str">
        <x:v>OPEN</x:v>
      </x:c>
      <x:c r="I267" s="21" t="str"/>
    </x:row>
    <x:row r="268">
      <x:c r="A268" s="21" t="str">
        <x:v>F2-R02-C12</x:v>
      </x:c>
      <x:c r="B268" s="21" t="str">
        <x:v>F2-R02</x:v>
      </x:c>
      <x:c r="C268" s="21" t="str">
        <x:v>F2</x:v>
      </x:c>
      <x:c r="D268" s="21" t="str">
        <x:v>TR-B</x:v>
      </x:c>
      <x:c r="E268" s="21" t="str">
        <x:v>retained-sample identity</x:v>
      </x:c>
      <x:c r="F268" s="21" t="str"/>
      <x:c r="G268" s="21" t="str"/>
      <x:c r="H268" s="21" t="str">
        <x:v>OPEN</x:v>
      </x:c>
      <x:c r="I268" s="21" t="str"/>
    </x:row>
    <x:row r="269">
      <x:c r="A269" s="21" t="str">
        <x:v>F2-R03-C01</x:v>
      </x:c>
      <x:c r="B269" s="21" t="str">
        <x:v>F2-R03</x:v>
      </x:c>
      <x:c r="C269" s="21" t="str">
        <x:v>F2</x:v>
      </x:c>
      <x:c r="D269" s="21" t="str">
        <x:v>TR-B</x:v>
      </x:c>
      <x:c r="E269" s="21" t="str">
        <x:v>gross mass</x:v>
      </x:c>
      <x:c r="F269" s="21" t="str"/>
      <x:c r="G269" s="21" t="str"/>
      <x:c r="H269" s="21" t="str">
        <x:v>OPEN</x:v>
      </x:c>
      <x:c r="I269" s="21" t="str"/>
    </x:row>
    <x:row r="270">
      <x:c r="A270" s="21" t="str">
        <x:v>F2-R03-C02</x:v>
      </x:c>
      <x:c r="B270" s="21" t="str">
        <x:v>F2-R03</x:v>
      </x:c>
      <x:c r="C270" s="21" t="str">
        <x:v>F2</x:v>
      </x:c>
      <x:c r="D270" s="21" t="str">
        <x:v>TR-B</x:v>
      </x:c>
      <x:c r="E270" s="21" t="str">
        <x:v>event mass</x:v>
      </x:c>
      <x:c r="F270" s="21" t="str"/>
      <x:c r="G270" s="21" t="str"/>
      <x:c r="H270" s="21" t="str">
        <x:v>OPEN</x:v>
      </x:c>
      <x:c r="I270" s="21" t="str"/>
    </x:row>
    <x:row r="271">
      <x:c r="A271" s="21" t="str">
        <x:v>F2-R03-C03</x:v>
      </x:c>
      <x:c r="B271" s="21" t="str">
        <x:v>F2-R03</x:v>
      </x:c>
      <x:c r="C271" s="21" t="str">
        <x:v>F2</x:v>
      </x:c>
      <x:c r="D271" s="21" t="str">
        <x:v>TR-B</x:v>
      </x:c>
      <x:c r="E271" s="21" t="str">
        <x:v>split masses</x:v>
      </x:c>
      <x:c r="F271" s="21" t="str"/>
      <x:c r="G271" s="21" t="str"/>
      <x:c r="H271" s="21" t="str">
        <x:v>OPEN</x:v>
      </x:c>
      <x:c r="I271" s="21" t="str"/>
    </x:row>
    <x:row r="272">
      <x:c r="A272" s="21" t="str">
        <x:v>F2-R03-C04</x:v>
      </x:c>
      <x:c r="B272" s="21" t="str">
        <x:v>F2-R03</x:v>
      </x:c>
      <x:c r="C272" s="21" t="str">
        <x:v>F2</x:v>
      </x:c>
      <x:c r="D272" s="21" t="str">
        <x:v>TR-B</x:v>
      </x:c>
      <x:c r="E272" s="21" t="str">
        <x:v>density</x:v>
      </x:c>
      <x:c r="F272" s="21" t="str"/>
      <x:c r="G272" s="21" t="str"/>
      <x:c r="H272" s="21" t="str">
        <x:v>OPEN</x:v>
      </x:c>
      <x:c r="I272" s="21" t="str"/>
    </x:row>
    <x:row r="273">
      <x:c r="A273" s="21" t="str">
        <x:v>F2-R03-C05</x:v>
      </x:c>
      <x:c r="B273" s="21" t="str">
        <x:v>F2-R03</x:v>
      </x:c>
      <x:c r="C273" s="21" t="str">
        <x:v>F2</x:v>
      </x:c>
      <x:c r="D273" s="21" t="str">
        <x:v>TR-B</x:v>
      </x:c>
      <x:c r="E273" s="21" t="str">
        <x:v>viscosity</x:v>
      </x:c>
      <x:c r="F273" s="21" t="str"/>
      <x:c r="G273" s="21" t="str"/>
      <x:c r="H273" s="21" t="str">
        <x:v>OPEN</x:v>
      </x:c>
      <x:c r="I273" s="21" t="str"/>
    </x:row>
    <x:row r="274">
      <x:c r="A274" s="21" t="str">
        <x:v>F2-R03-C06</x:v>
      </x:c>
      <x:c r="B274" s="21" t="str">
        <x:v>F2-R03</x:v>
      </x:c>
      <x:c r="C274" s="21" t="str">
        <x:v>F2</x:v>
      </x:c>
      <x:c r="D274" s="21" t="str">
        <x:v>TR-B</x:v>
      </x:c>
      <x:c r="E274" s="21" t="str">
        <x:v>surface tension</x:v>
      </x:c>
      <x:c r="F274" s="21" t="str"/>
      <x:c r="G274" s="21" t="str"/>
      <x:c r="H274" s="21" t="str">
        <x:v>OPEN</x:v>
      </x:c>
      <x:c r="I274" s="21" t="str"/>
    </x:row>
    <x:row r="275">
      <x:c r="A275" s="21" t="str">
        <x:v>F2-R03-C07</x:v>
      </x:c>
      <x:c r="B275" s="21" t="str">
        <x:v>F2-R03</x:v>
      </x:c>
      <x:c r="C275" s="21" t="str">
        <x:v>F2</x:v>
      </x:c>
      <x:c r="D275" s="21" t="str">
        <x:v>TR-B</x:v>
      </x:c>
      <x:c r="E275" s="21" t="str">
        <x:v>temperature</x:v>
      </x:c>
      <x:c r="F275" s="21" t="str"/>
      <x:c r="G275" s="21" t="str"/>
      <x:c r="H275" s="21" t="str">
        <x:v>OPEN</x:v>
      </x:c>
      <x:c r="I275" s="21" t="str"/>
    </x:row>
    <x:row r="276">
      <x:c r="A276" s="21" t="str">
        <x:v>F2-R03-C08</x:v>
      </x:c>
      <x:c r="B276" s="21" t="str">
        <x:v>F2-R03</x:v>
      </x:c>
      <x:c r="C276" s="21" t="str">
        <x:v>F2</x:v>
      </x:c>
      <x:c r="D276" s="21" t="str">
        <x:v>TR-B</x:v>
      </x:c>
      <x:c r="E276" s="21" t="str">
        <x:v>water fraction</x:v>
      </x:c>
      <x:c r="F276" s="21" t="str"/>
      <x:c r="G276" s="21" t="str"/>
      <x:c r="H276" s="21" t="str">
        <x:v>OPEN</x:v>
      </x:c>
      <x:c r="I276" s="21" t="str"/>
    </x:row>
    <x:row r="277">
      <x:c r="A277" s="21" t="str">
        <x:v>F2-R03-C09</x:v>
      </x:c>
      <x:c r="B277" s="21" t="str">
        <x:v>F2-R03</x:v>
      </x:c>
      <x:c r="C277" s="21" t="str">
        <x:v>F2</x:v>
      </x:c>
      <x:c r="D277" s="21" t="str">
        <x:v>TR-B</x:v>
      </x:c>
      <x:c r="E277" s="21" t="str">
        <x:v>foreign solids</x:v>
      </x:c>
      <x:c r="F277" s="21" t="str"/>
      <x:c r="G277" s="21" t="str"/>
      <x:c r="H277" s="21" t="str">
        <x:v>OPEN</x:v>
      </x:c>
      <x:c r="I277" s="21" t="str"/>
    </x:row>
    <x:row r="278">
      <x:c r="A278" s="21" t="str">
        <x:v>F2-R03-C10</x:v>
      </x:c>
      <x:c r="B278" s="21" t="str">
        <x:v>F2-R03</x:v>
      </x:c>
      <x:c r="C278" s="21" t="str">
        <x:v>F2</x:v>
      </x:c>
      <x:c r="D278" s="21" t="str">
        <x:v>TR-B</x:v>
      </x:c>
      <x:c r="E278" s="21" t="str">
        <x:v>ancestry recovery</x:v>
      </x:c>
      <x:c r="F278" s="21" t="str"/>
      <x:c r="G278" s="21" t="str"/>
      <x:c r="H278" s="21" t="str">
        <x:v>OPEN</x:v>
      </x:c>
      <x:c r="I278" s="21" t="str"/>
    </x:row>
    <x:row r="279">
      <x:c r="A279" s="21" t="str">
        <x:v>F2-R03-C11</x:v>
      </x:c>
      <x:c r="B279" s="21" t="str">
        <x:v>F2-R03</x:v>
      </x:c>
      <x:c r="C279" s="21" t="str">
        <x:v>F2</x:v>
      </x:c>
      <x:c r="D279" s="21" t="str">
        <x:v>TR-B</x:v>
      </x:c>
      <x:c r="E279" s="21" t="str">
        <x:v>custody seal</x:v>
      </x:c>
      <x:c r="F279" s="21" t="str"/>
      <x:c r="G279" s="21" t="str"/>
      <x:c r="H279" s="21" t="str">
        <x:v>OPEN</x:v>
      </x:c>
      <x:c r="I279" s="21" t="str"/>
    </x:row>
    <x:row r="280">
      <x:c r="A280" s="21" t="str">
        <x:v>F2-R03-C12</x:v>
      </x:c>
      <x:c r="B280" s="21" t="str">
        <x:v>F2-R03</x:v>
      </x:c>
      <x:c r="C280" s="21" t="str">
        <x:v>F2</x:v>
      </x:c>
      <x:c r="D280" s="21" t="str">
        <x:v>TR-B</x:v>
      </x:c>
      <x:c r="E280" s="21" t="str">
        <x:v>retained-sample identity</x:v>
      </x:c>
      <x:c r="F280" s="21" t="str"/>
      <x:c r="G280" s="21" t="str"/>
      <x:c r="H280" s="21" t="str">
        <x:v>OPEN</x:v>
      </x:c>
      <x:c r="I280" s="21" t="str"/>
    </x:row>
    <x:row r="281">
      <x:c r="A281" s="21" t="str">
        <x:v>F2-R04-C01</x:v>
      </x:c>
      <x:c r="B281" s="21" t="str">
        <x:v>F2-R04</x:v>
      </x:c>
      <x:c r="C281" s="21" t="str">
        <x:v>F2</x:v>
      </x:c>
      <x:c r="D281" s="21" t="str">
        <x:v>TR-B</x:v>
      </x:c>
      <x:c r="E281" s="21" t="str">
        <x:v>gross mass</x:v>
      </x:c>
      <x:c r="F281" s="21" t="str"/>
      <x:c r="G281" s="21" t="str"/>
      <x:c r="H281" s="21" t="str">
        <x:v>OPEN</x:v>
      </x:c>
      <x:c r="I281" s="21" t="str"/>
    </x:row>
    <x:row r="282">
      <x:c r="A282" s="21" t="str">
        <x:v>F2-R04-C02</x:v>
      </x:c>
      <x:c r="B282" s="21" t="str">
        <x:v>F2-R04</x:v>
      </x:c>
      <x:c r="C282" s="21" t="str">
        <x:v>F2</x:v>
      </x:c>
      <x:c r="D282" s="21" t="str">
        <x:v>TR-B</x:v>
      </x:c>
      <x:c r="E282" s="21" t="str">
        <x:v>event mass</x:v>
      </x:c>
      <x:c r="F282" s="21" t="str"/>
      <x:c r="G282" s="21" t="str"/>
      <x:c r="H282" s="21" t="str">
        <x:v>OPEN</x:v>
      </x:c>
      <x:c r="I282" s="21" t="str"/>
    </x:row>
    <x:row r="283">
      <x:c r="A283" s="21" t="str">
        <x:v>F2-R04-C03</x:v>
      </x:c>
      <x:c r="B283" s="21" t="str">
        <x:v>F2-R04</x:v>
      </x:c>
      <x:c r="C283" s="21" t="str">
        <x:v>F2</x:v>
      </x:c>
      <x:c r="D283" s="21" t="str">
        <x:v>TR-B</x:v>
      </x:c>
      <x:c r="E283" s="21" t="str">
        <x:v>split masses</x:v>
      </x:c>
      <x:c r="F283" s="21" t="str"/>
      <x:c r="G283" s="21" t="str"/>
      <x:c r="H283" s="21" t="str">
        <x:v>OPEN</x:v>
      </x:c>
      <x:c r="I283" s="21" t="str"/>
    </x:row>
    <x:row r="284">
      <x:c r="A284" s="21" t="str">
        <x:v>F2-R04-C04</x:v>
      </x:c>
      <x:c r="B284" s="21" t="str">
        <x:v>F2-R04</x:v>
      </x:c>
      <x:c r="C284" s="21" t="str">
        <x:v>F2</x:v>
      </x:c>
      <x:c r="D284" s="21" t="str">
        <x:v>TR-B</x:v>
      </x:c>
      <x:c r="E284" s="21" t="str">
        <x:v>density</x:v>
      </x:c>
      <x:c r="F284" s="21" t="str"/>
      <x:c r="G284" s="21" t="str"/>
      <x:c r="H284" s="21" t="str">
        <x:v>OPEN</x:v>
      </x:c>
      <x:c r="I284" s="21" t="str"/>
    </x:row>
    <x:row r="285">
      <x:c r="A285" s="21" t="str">
        <x:v>F2-R04-C05</x:v>
      </x:c>
      <x:c r="B285" s="21" t="str">
        <x:v>F2-R04</x:v>
      </x:c>
      <x:c r="C285" s="21" t="str">
        <x:v>F2</x:v>
      </x:c>
      <x:c r="D285" s="21" t="str">
        <x:v>TR-B</x:v>
      </x:c>
      <x:c r="E285" s="21" t="str">
        <x:v>viscosity</x:v>
      </x:c>
      <x:c r="F285" s="21" t="str"/>
      <x:c r="G285" s="21" t="str"/>
      <x:c r="H285" s="21" t="str">
        <x:v>OPEN</x:v>
      </x:c>
      <x:c r="I285" s="21" t="str"/>
    </x:row>
    <x:row r="286">
      <x:c r="A286" s="21" t="str">
        <x:v>F2-R04-C06</x:v>
      </x:c>
      <x:c r="B286" s="21" t="str">
        <x:v>F2-R04</x:v>
      </x:c>
      <x:c r="C286" s="21" t="str">
        <x:v>F2</x:v>
      </x:c>
      <x:c r="D286" s="21" t="str">
        <x:v>TR-B</x:v>
      </x:c>
      <x:c r="E286" s="21" t="str">
        <x:v>surface tension</x:v>
      </x:c>
      <x:c r="F286" s="21" t="str"/>
      <x:c r="G286" s="21" t="str"/>
      <x:c r="H286" s="21" t="str">
        <x:v>OPEN</x:v>
      </x:c>
      <x:c r="I286" s="21" t="str"/>
    </x:row>
    <x:row r="287">
      <x:c r="A287" s="21" t="str">
        <x:v>F2-R04-C07</x:v>
      </x:c>
      <x:c r="B287" s="21" t="str">
        <x:v>F2-R04</x:v>
      </x:c>
      <x:c r="C287" s="21" t="str">
        <x:v>F2</x:v>
      </x:c>
      <x:c r="D287" s="21" t="str">
        <x:v>TR-B</x:v>
      </x:c>
      <x:c r="E287" s="21" t="str">
        <x:v>temperature</x:v>
      </x:c>
      <x:c r="F287" s="21" t="str"/>
      <x:c r="G287" s="21" t="str"/>
      <x:c r="H287" s="21" t="str">
        <x:v>OPEN</x:v>
      </x:c>
      <x:c r="I287" s="21" t="str"/>
    </x:row>
    <x:row r="288">
      <x:c r="A288" s="21" t="str">
        <x:v>F2-R04-C08</x:v>
      </x:c>
      <x:c r="B288" s="21" t="str">
        <x:v>F2-R04</x:v>
      </x:c>
      <x:c r="C288" s="21" t="str">
        <x:v>F2</x:v>
      </x:c>
      <x:c r="D288" s="21" t="str">
        <x:v>TR-B</x:v>
      </x:c>
      <x:c r="E288" s="21" t="str">
        <x:v>water fraction</x:v>
      </x:c>
      <x:c r="F288" s="21" t="str"/>
      <x:c r="G288" s="21" t="str"/>
      <x:c r="H288" s="21" t="str">
        <x:v>OPEN</x:v>
      </x:c>
      <x:c r="I288" s="21" t="str"/>
    </x:row>
    <x:row r="289">
      <x:c r="A289" s="21" t="str">
        <x:v>F2-R04-C09</x:v>
      </x:c>
      <x:c r="B289" s="21" t="str">
        <x:v>F2-R04</x:v>
      </x:c>
      <x:c r="C289" s="21" t="str">
        <x:v>F2</x:v>
      </x:c>
      <x:c r="D289" s="21" t="str">
        <x:v>TR-B</x:v>
      </x:c>
      <x:c r="E289" s="21" t="str">
        <x:v>foreign solids</x:v>
      </x:c>
      <x:c r="F289" s="21" t="str"/>
      <x:c r="G289" s="21" t="str"/>
      <x:c r="H289" s="21" t="str">
        <x:v>OPEN</x:v>
      </x:c>
      <x:c r="I289" s="21" t="str"/>
    </x:row>
    <x:row r="290">
      <x:c r="A290" s="21" t="str">
        <x:v>F2-R04-C10</x:v>
      </x:c>
      <x:c r="B290" s="21" t="str">
        <x:v>F2-R04</x:v>
      </x:c>
      <x:c r="C290" s="21" t="str">
        <x:v>F2</x:v>
      </x:c>
      <x:c r="D290" s="21" t="str">
        <x:v>TR-B</x:v>
      </x:c>
      <x:c r="E290" s="21" t="str">
        <x:v>ancestry recovery</x:v>
      </x:c>
      <x:c r="F290" s="21" t="str"/>
      <x:c r="G290" s="21" t="str"/>
      <x:c r="H290" s="21" t="str">
        <x:v>OPEN</x:v>
      </x:c>
      <x:c r="I290" s="21" t="str"/>
    </x:row>
    <x:row r="291">
      <x:c r="A291" s="21" t="str">
        <x:v>F2-R04-C11</x:v>
      </x:c>
      <x:c r="B291" s="21" t="str">
        <x:v>F2-R04</x:v>
      </x:c>
      <x:c r="C291" s="21" t="str">
        <x:v>F2</x:v>
      </x:c>
      <x:c r="D291" s="21" t="str">
        <x:v>TR-B</x:v>
      </x:c>
      <x:c r="E291" s="21" t="str">
        <x:v>custody seal</x:v>
      </x:c>
      <x:c r="F291" s="21" t="str"/>
      <x:c r="G291" s="21" t="str"/>
      <x:c r="H291" s="21" t="str">
        <x:v>OPEN</x:v>
      </x:c>
      <x:c r="I291" s="21" t="str"/>
    </x:row>
    <x:row r="292">
      <x:c r="A292" s="21" t="str">
        <x:v>F2-R04-C12</x:v>
      </x:c>
      <x:c r="B292" s="21" t="str">
        <x:v>F2-R04</x:v>
      </x:c>
      <x:c r="C292" s="21" t="str">
        <x:v>F2</x:v>
      </x:c>
      <x:c r="D292" s="21" t="str">
        <x:v>TR-B</x:v>
      </x:c>
      <x:c r="E292" s="21" t="str">
        <x:v>retained-sample identity</x:v>
      </x:c>
      <x:c r="F292" s="21" t="str"/>
      <x:c r="G292" s="21" t="str"/>
      <x:c r="H292" s="21" t="str">
        <x:v>OPEN</x:v>
      </x:c>
      <x:c r="I292" s="21" t="str"/>
    </x:row>
    <x:row r="293">
      <x:c r="A293" s="21" t="str">
        <x:v>F2-R05-C01</x:v>
      </x:c>
      <x:c r="B293" s="21" t="str">
        <x:v>F2-R05</x:v>
      </x:c>
      <x:c r="C293" s="21" t="str">
        <x:v>F2</x:v>
      </x:c>
      <x:c r="D293" s="21" t="str">
        <x:v>TR-B</x:v>
      </x:c>
      <x:c r="E293" s="21" t="str">
        <x:v>gross mass</x:v>
      </x:c>
      <x:c r="F293" s="21" t="str"/>
      <x:c r="G293" s="21" t="str"/>
      <x:c r="H293" s="21" t="str">
        <x:v>OPEN</x:v>
      </x:c>
      <x:c r="I293" s="21" t="str"/>
    </x:row>
    <x:row r="294">
      <x:c r="A294" s="21" t="str">
        <x:v>F2-R05-C02</x:v>
      </x:c>
      <x:c r="B294" s="21" t="str">
        <x:v>F2-R05</x:v>
      </x:c>
      <x:c r="C294" s="21" t="str">
        <x:v>F2</x:v>
      </x:c>
      <x:c r="D294" s="21" t="str">
        <x:v>TR-B</x:v>
      </x:c>
      <x:c r="E294" s="21" t="str">
        <x:v>event mass</x:v>
      </x:c>
      <x:c r="F294" s="21" t="str"/>
      <x:c r="G294" s="21" t="str"/>
      <x:c r="H294" s="21" t="str">
        <x:v>OPEN</x:v>
      </x:c>
      <x:c r="I294" s="21" t="str"/>
    </x:row>
    <x:row r="295">
      <x:c r="A295" s="21" t="str">
        <x:v>F2-R05-C03</x:v>
      </x:c>
      <x:c r="B295" s="21" t="str">
        <x:v>F2-R05</x:v>
      </x:c>
      <x:c r="C295" s="21" t="str">
        <x:v>F2</x:v>
      </x:c>
      <x:c r="D295" s="21" t="str">
        <x:v>TR-B</x:v>
      </x:c>
      <x:c r="E295" s="21" t="str">
        <x:v>split masses</x:v>
      </x:c>
      <x:c r="F295" s="21" t="str"/>
      <x:c r="G295" s="21" t="str"/>
      <x:c r="H295" s="21" t="str">
        <x:v>OPEN</x:v>
      </x:c>
      <x:c r="I295" s="21" t="str"/>
    </x:row>
    <x:row r="296">
      <x:c r="A296" s="21" t="str">
        <x:v>F2-R05-C04</x:v>
      </x:c>
      <x:c r="B296" s="21" t="str">
        <x:v>F2-R05</x:v>
      </x:c>
      <x:c r="C296" s="21" t="str">
        <x:v>F2</x:v>
      </x:c>
      <x:c r="D296" s="21" t="str">
        <x:v>TR-B</x:v>
      </x:c>
      <x:c r="E296" s="21" t="str">
        <x:v>density</x:v>
      </x:c>
      <x:c r="F296" s="21" t="str"/>
      <x:c r="G296" s="21" t="str"/>
      <x:c r="H296" s="21" t="str">
        <x:v>OPEN</x:v>
      </x:c>
      <x:c r="I296" s="21" t="str"/>
    </x:row>
    <x:row r="297">
      <x:c r="A297" s="21" t="str">
        <x:v>F2-R05-C05</x:v>
      </x:c>
      <x:c r="B297" s="21" t="str">
        <x:v>F2-R05</x:v>
      </x:c>
      <x:c r="C297" s="21" t="str">
        <x:v>F2</x:v>
      </x:c>
      <x:c r="D297" s="21" t="str">
        <x:v>TR-B</x:v>
      </x:c>
      <x:c r="E297" s="21" t="str">
        <x:v>viscosity</x:v>
      </x:c>
      <x:c r="F297" s="21" t="str"/>
      <x:c r="G297" s="21" t="str"/>
      <x:c r="H297" s="21" t="str">
        <x:v>OPEN</x:v>
      </x:c>
      <x:c r="I297" s="21" t="str"/>
    </x:row>
    <x:row r="298">
      <x:c r="A298" s="21" t="str">
        <x:v>F2-R05-C06</x:v>
      </x:c>
      <x:c r="B298" s="21" t="str">
        <x:v>F2-R05</x:v>
      </x:c>
      <x:c r="C298" s="21" t="str">
        <x:v>F2</x:v>
      </x:c>
      <x:c r="D298" s="21" t="str">
        <x:v>TR-B</x:v>
      </x:c>
      <x:c r="E298" s="21" t="str">
        <x:v>surface tension</x:v>
      </x:c>
      <x:c r="F298" s="21" t="str"/>
      <x:c r="G298" s="21" t="str"/>
      <x:c r="H298" s="21" t="str">
        <x:v>OPEN</x:v>
      </x:c>
      <x:c r="I298" s="21" t="str"/>
    </x:row>
    <x:row r="299">
      <x:c r="A299" s="21" t="str">
        <x:v>F2-R05-C07</x:v>
      </x:c>
      <x:c r="B299" s="21" t="str">
        <x:v>F2-R05</x:v>
      </x:c>
      <x:c r="C299" s="21" t="str">
        <x:v>F2</x:v>
      </x:c>
      <x:c r="D299" s="21" t="str">
        <x:v>TR-B</x:v>
      </x:c>
      <x:c r="E299" s="21" t="str">
        <x:v>temperature</x:v>
      </x:c>
      <x:c r="F299" s="21" t="str"/>
      <x:c r="G299" s="21" t="str"/>
      <x:c r="H299" s="21" t="str">
        <x:v>OPEN</x:v>
      </x:c>
      <x:c r="I299" s="21" t="str"/>
    </x:row>
    <x:row r="300">
      <x:c r="A300" s="21" t="str">
        <x:v>F2-R05-C08</x:v>
      </x:c>
      <x:c r="B300" s="21" t="str">
        <x:v>F2-R05</x:v>
      </x:c>
      <x:c r="C300" s="21" t="str">
        <x:v>F2</x:v>
      </x:c>
      <x:c r="D300" s="21" t="str">
        <x:v>TR-B</x:v>
      </x:c>
      <x:c r="E300" s="21" t="str">
        <x:v>water fraction</x:v>
      </x:c>
      <x:c r="F300" s="21" t="str"/>
      <x:c r="G300" s="21" t="str"/>
      <x:c r="H300" s="21" t="str">
        <x:v>OPEN</x:v>
      </x:c>
      <x:c r="I300" s="21" t="str"/>
    </x:row>
    <x:row r="301">
      <x:c r="A301" s="21" t="str">
        <x:v>F2-R05-C09</x:v>
      </x:c>
      <x:c r="B301" s="21" t="str">
        <x:v>F2-R05</x:v>
      </x:c>
      <x:c r="C301" s="21" t="str">
        <x:v>F2</x:v>
      </x:c>
      <x:c r="D301" s="21" t="str">
        <x:v>TR-B</x:v>
      </x:c>
      <x:c r="E301" s="21" t="str">
        <x:v>foreign solids</x:v>
      </x:c>
      <x:c r="F301" s="21" t="str"/>
      <x:c r="G301" s="21" t="str"/>
      <x:c r="H301" s="21" t="str">
        <x:v>OPEN</x:v>
      </x:c>
      <x:c r="I301" s="21" t="str"/>
    </x:row>
    <x:row r="302">
      <x:c r="A302" s="21" t="str">
        <x:v>F2-R05-C10</x:v>
      </x:c>
      <x:c r="B302" s="21" t="str">
        <x:v>F2-R05</x:v>
      </x:c>
      <x:c r="C302" s="21" t="str">
        <x:v>F2</x:v>
      </x:c>
      <x:c r="D302" s="21" t="str">
        <x:v>TR-B</x:v>
      </x:c>
      <x:c r="E302" s="21" t="str">
        <x:v>ancestry recovery</x:v>
      </x:c>
      <x:c r="F302" s="21" t="str"/>
      <x:c r="G302" s="21" t="str"/>
      <x:c r="H302" s="21" t="str">
        <x:v>OPEN</x:v>
      </x:c>
      <x:c r="I302" s="21" t="str"/>
    </x:row>
    <x:row r="303">
      <x:c r="A303" s="21" t="str">
        <x:v>F2-R05-C11</x:v>
      </x:c>
      <x:c r="B303" s="21" t="str">
        <x:v>F2-R05</x:v>
      </x:c>
      <x:c r="C303" s="21" t="str">
        <x:v>F2</x:v>
      </x:c>
      <x:c r="D303" s="21" t="str">
        <x:v>TR-B</x:v>
      </x:c>
      <x:c r="E303" s="21" t="str">
        <x:v>custody seal</x:v>
      </x:c>
      <x:c r="F303" s="21" t="str"/>
      <x:c r="G303" s="21" t="str"/>
      <x:c r="H303" s="21" t="str">
        <x:v>OPEN</x:v>
      </x:c>
      <x:c r="I303" s="21" t="str"/>
    </x:row>
    <x:row r="304">
      <x:c r="A304" s="21" t="str">
        <x:v>F2-R05-C12</x:v>
      </x:c>
      <x:c r="B304" s="21" t="str">
        <x:v>F2-R05</x:v>
      </x:c>
      <x:c r="C304" s="21" t="str">
        <x:v>F2</x:v>
      </x:c>
      <x:c r="D304" s="21" t="str">
        <x:v>TR-B</x:v>
      </x:c>
      <x:c r="E304" s="21" t="str">
        <x:v>retained-sample identity</x:v>
      </x:c>
      <x:c r="F304" s="21" t="str"/>
      <x:c r="G304" s="21" t="str"/>
      <x:c r="H304" s="21" t="str">
        <x:v>OPEN</x:v>
      </x:c>
      <x:c r="I304" s="21" t="str"/>
    </x:row>
    <x:row r="305">
      <x:c r="A305" s="21" t="str">
        <x:v>F2-R06-C01</x:v>
      </x:c>
      <x:c r="B305" s="21" t="str">
        <x:v>F2-R06</x:v>
      </x:c>
      <x:c r="C305" s="21" t="str">
        <x:v>F2</x:v>
      </x:c>
      <x:c r="D305" s="21" t="str">
        <x:v>TR-B</x:v>
      </x:c>
      <x:c r="E305" s="21" t="str">
        <x:v>gross mass</x:v>
      </x:c>
      <x:c r="F305" s="21" t="str"/>
      <x:c r="G305" s="21" t="str"/>
      <x:c r="H305" s="21" t="str">
        <x:v>OPEN</x:v>
      </x:c>
      <x:c r="I305" s="21" t="str"/>
    </x:row>
    <x:row r="306">
      <x:c r="A306" s="21" t="str">
        <x:v>F2-R06-C02</x:v>
      </x:c>
      <x:c r="B306" s="21" t="str">
        <x:v>F2-R06</x:v>
      </x:c>
      <x:c r="C306" s="21" t="str">
        <x:v>F2</x:v>
      </x:c>
      <x:c r="D306" s="21" t="str">
        <x:v>TR-B</x:v>
      </x:c>
      <x:c r="E306" s="21" t="str">
        <x:v>event mass</x:v>
      </x:c>
      <x:c r="F306" s="21" t="str"/>
      <x:c r="G306" s="21" t="str"/>
      <x:c r="H306" s="21" t="str">
        <x:v>OPEN</x:v>
      </x:c>
      <x:c r="I306" s="21" t="str"/>
    </x:row>
    <x:row r="307">
      <x:c r="A307" s="21" t="str">
        <x:v>F2-R06-C03</x:v>
      </x:c>
      <x:c r="B307" s="21" t="str">
        <x:v>F2-R06</x:v>
      </x:c>
      <x:c r="C307" s="21" t="str">
        <x:v>F2</x:v>
      </x:c>
      <x:c r="D307" s="21" t="str">
        <x:v>TR-B</x:v>
      </x:c>
      <x:c r="E307" s="21" t="str">
        <x:v>split masses</x:v>
      </x:c>
      <x:c r="F307" s="21" t="str"/>
      <x:c r="G307" s="21" t="str"/>
      <x:c r="H307" s="21" t="str">
        <x:v>OPEN</x:v>
      </x:c>
      <x:c r="I307" s="21" t="str"/>
    </x:row>
    <x:row r="308">
      <x:c r="A308" s="21" t="str">
        <x:v>F2-R06-C04</x:v>
      </x:c>
      <x:c r="B308" s="21" t="str">
        <x:v>F2-R06</x:v>
      </x:c>
      <x:c r="C308" s="21" t="str">
        <x:v>F2</x:v>
      </x:c>
      <x:c r="D308" s="21" t="str">
        <x:v>TR-B</x:v>
      </x:c>
      <x:c r="E308" s="21" t="str">
        <x:v>density</x:v>
      </x:c>
      <x:c r="F308" s="21" t="str"/>
      <x:c r="G308" s="21" t="str"/>
      <x:c r="H308" s="21" t="str">
        <x:v>OPEN</x:v>
      </x:c>
      <x:c r="I308" s="21" t="str"/>
    </x:row>
    <x:row r="309">
      <x:c r="A309" s="21" t="str">
        <x:v>F2-R06-C05</x:v>
      </x:c>
      <x:c r="B309" s="21" t="str">
        <x:v>F2-R06</x:v>
      </x:c>
      <x:c r="C309" s="21" t="str">
        <x:v>F2</x:v>
      </x:c>
      <x:c r="D309" s="21" t="str">
        <x:v>TR-B</x:v>
      </x:c>
      <x:c r="E309" s="21" t="str">
        <x:v>viscosity</x:v>
      </x:c>
      <x:c r="F309" s="21" t="str"/>
      <x:c r="G309" s="21" t="str"/>
      <x:c r="H309" s="21" t="str">
        <x:v>OPEN</x:v>
      </x:c>
      <x:c r="I309" s="21" t="str"/>
    </x:row>
    <x:row r="310">
      <x:c r="A310" s="21" t="str">
        <x:v>F2-R06-C06</x:v>
      </x:c>
      <x:c r="B310" s="21" t="str">
        <x:v>F2-R06</x:v>
      </x:c>
      <x:c r="C310" s="21" t="str">
        <x:v>F2</x:v>
      </x:c>
      <x:c r="D310" s="21" t="str">
        <x:v>TR-B</x:v>
      </x:c>
      <x:c r="E310" s="21" t="str">
        <x:v>surface tension</x:v>
      </x:c>
      <x:c r="F310" s="21" t="str"/>
      <x:c r="G310" s="21" t="str"/>
      <x:c r="H310" s="21" t="str">
        <x:v>OPEN</x:v>
      </x:c>
      <x:c r="I310" s="21" t="str"/>
    </x:row>
    <x:row r="311">
      <x:c r="A311" s="21" t="str">
        <x:v>F2-R06-C07</x:v>
      </x:c>
      <x:c r="B311" s="21" t="str">
        <x:v>F2-R06</x:v>
      </x:c>
      <x:c r="C311" s="21" t="str">
        <x:v>F2</x:v>
      </x:c>
      <x:c r="D311" s="21" t="str">
        <x:v>TR-B</x:v>
      </x:c>
      <x:c r="E311" s="21" t="str">
        <x:v>temperature</x:v>
      </x:c>
      <x:c r="F311" s="21" t="str"/>
      <x:c r="G311" s="21" t="str"/>
      <x:c r="H311" s="21" t="str">
        <x:v>OPEN</x:v>
      </x:c>
      <x:c r="I311" s="21" t="str"/>
    </x:row>
    <x:row r="312">
      <x:c r="A312" s="21" t="str">
        <x:v>F2-R06-C08</x:v>
      </x:c>
      <x:c r="B312" s="21" t="str">
        <x:v>F2-R06</x:v>
      </x:c>
      <x:c r="C312" s="21" t="str">
        <x:v>F2</x:v>
      </x:c>
      <x:c r="D312" s="21" t="str">
        <x:v>TR-B</x:v>
      </x:c>
      <x:c r="E312" s="21" t="str">
        <x:v>water fraction</x:v>
      </x:c>
      <x:c r="F312" s="21" t="str"/>
      <x:c r="G312" s="21" t="str"/>
      <x:c r="H312" s="21" t="str">
        <x:v>OPEN</x:v>
      </x:c>
      <x:c r="I312" s="21" t="str"/>
    </x:row>
    <x:row r="313">
      <x:c r="A313" s="21" t="str">
        <x:v>F2-R06-C09</x:v>
      </x:c>
      <x:c r="B313" s="21" t="str">
        <x:v>F2-R06</x:v>
      </x:c>
      <x:c r="C313" s="21" t="str">
        <x:v>F2</x:v>
      </x:c>
      <x:c r="D313" s="21" t="str">
        <x:v>TR-B</x:v>
      </x:c>
      <x:c r="E313" s="21" t="str">
        <x:v>foreign solids</x:v>
      </x:c>
      <x:c r="F313" s="21" t="str"/>
      <x:c r="G313" s="21" t="str"/>
      <x:c r="H313" s="21" t="str">
        <x:v>OPEN</x:v>
      </x:c>
      <x:c r="I313" s="21" t="str"/>
    </x:row>
    <x:row r="314">
      <x:c r="A314" s="21" t="str">
        <x:v>F2-R06-C10</x:v>
      </x:c>
      <x:c r="B314" s="21" t="str">
        <x:v>F2-R06</x:v>
      </x:c>
      <x:c r="C314" s="21" t="str">
        <x:v>F2</x:v>
      </x:c>
      <x:c r="D314" s="21" t="str">
        <x:v>TR-B</x:v>
      </x:c>
      <x:c r="E314" s="21" t="str">
        <x:v>ancestry recovery</x:v>
      </x:c>
      <x:c r="F314" s="21" t="str"/>
      <x:c r="G314" s="21" t="str"/>
      <x:c r="H314" s="21" t="str">
        <x:v>OPEN</x:v>
      </x:c>
      <x:c r="I314" s="21" t="str"/>
    </x:row>
    <x:row r="315">
      <x:c r="A315" s="21" t="str">
        <x:v>F2-R06-C11</x:v>
      </x:c>
      <x:c r="B315" s="21" t="str">
        <x:v>F2-R06</x:v>
      </x:c>
      <x:c r="C315" s="21" t="str">
        <x:v>F2</x:v>
      </x:c>
      <x:c r="D315" s="21" t="str">
        <x:v>TR-B</x:v>
      </x:c>
      <x:c r="E315" s="21" t="str">
        <x:v>custody seal</x:v>
      </x:c>
      <x:c r="F315" s="21" t="str"/>
      <x:c r="G315" s="21" t="str"/>
      <x:c r="H315" s="21" t="str">
        <x:v>OPEN</x:v>
      </x:c>
      <x:c r="I315" s="21" t="str"/>
    </x:row>
    <x:row r="316">
      <x:c r="A316" s="21" t="str">
        <x:v>F2-R06-C12</x:v>
      </x:c>
      <x:c r="B316" s="21" t="str">
        <x:v>F2-R06</x:v>
      </x:c>
      <x:c r="C316" s="21" t="str">
        <x:v>F2</x:v>
      </x:c>
      <x:c r="D316" s="21" t="str">
        <x:v>TR-B</x:v>
      </x:c>
      <x:c r="E316" s="21" t="str">
        <x:v>retained-sample identity</x:v>
      </x:c>
      <x:c r="F316" s="21" t="str"/>
      <x:c r="G316" s="21" t="str"/>
      <x:c r="H316" s="21" t="str">
        <x:v>OPEN</x:v>
      </x:c>
      <x:c r="I316" s="21" t="str"/>
    </x:row>
    <x:row r="317">
      <x:c r="A317" s="21" t="str">
        <x:v>F2-R07-C01</x:v>
      </x:c>
      <x:c r="B317" s="21" t="str">
        <x:v>F2-R07</x:v>
      </x:c>
      <x:c r="C317" s="21" t="str">
        <x:v>F2</x:v>
      </x:c>
      <x:c r="D317" s="21" t="str">
        <x:v>TR-B</x:v>
      </x:c>
      <x:c r="E317" s="21" t="str">
        <x:v>gross mass</x:v>
      </x:c>
      <x:c r="F317" s="21" t="str"/>
      <x:c r="G317" s="21" t="str"/>
      <x:c r="H317" s="21" t="str">
        <x:v>OPEN</x:v>
      </x:c>
      <x:c r="I317" s="21" t="str"/>
    </x:row>
    <x:row r="318">
      <x:c r="A318" s="21" t="str">
        <x:v>F2-R07-C02</x:v>
      </x:c>
      <x:c r="B318" s="21" t="str">
        <x:v>F2-R07</x:v>
      </x:c>
      <x:c r="C318" s="21" t="str">
        <x:v>F2</x:v>
      </x:c>
      <x:c r="D318" s="21" t="str">
        <x:v>TR-B</x:v>
      </x:c>
      <x:c r="E318" s="21" t="str">
        <x:v>event mass</x:v>
      </x:c>
      <x:c r="F318" s="21" t="str"/>
      <x:c r="G318" s="21" t="str"/>
      <x:c r="H318" s="21" t="str">
        <x:v>OPEN</x:v>
      </x:c>
      <x:c r="I318" s="21" t="str"/>
    </x:row>
    <x:row r="319">
      <x:c r="A319" s="21" t="str">
        <x:v>F2-R07-C03</x:v>
      </x:c>
      <x:c r="B319" s="21" t="str">
        <x:v>F2-R07</x:v>
      </x:c>
      <x:c r="C319" s="21" t="str">
        <x:v>F2</x:v>
      </x:c>
      <x:c r="D319" s="21" t="str">
        <x:v>TR-B</x:v>
      </x:c>
      <x:c r="E319" s="21" t="str">
        <x:v>split masses</x:v>
      </x:c>
      <x:c r="F319" s="21" t="str"/>
      <x:c r="G319" s="21" t="str"/>
      <x:c r="H319" s="21" t="str">
        <x:v>OPEN</x:v>
      </x:c>
      <x:c r="I319" s="21" t="str"/>
    </x:row>
    <x:row r="320">
      <x:c r="A320" s="21" t="str">
        <x:v>F2-R07-C04</x:v>
      </x:c>
      <x:c r="B320" s="21" t="str">
        <x:v>F2-R07</x:v>
      </x:c>
      <x:c r="C320" s="21" t="str">
        <x:v>F2</x:v>
      </x:c>
      <x:c r="D320" s="21" t="str">
        <x:v>TR-B</x:v>
      </x:c>
      <x:c r="E320" s="21" t="str">
        <x:v>density</x:v>
      </x:c>
      <x:c r="F320" s="21" t="str"/>
      <x:c r="G320" s="21" t="str"/>
      <x:c r="H320" s="21" t="str">
        <x:v>OPEN</x:v>
      </x:c>
      <x:c r="I320" s="21" t="str"/>
    </x:row>
    <x:row r="321">
      <x:c r="A321" s="21" t="str">
        <x:v>F2-R07-C05</x:v>
      </x:c>
      <x:c r="B321" s="21" t="str">
        <x:v>F2-R07</x:v>
      </x:c>
      <x:c r="C321" s="21" t="str">
        <x:v>F2</x:v>
      </x:c>
      <x:c r="D321" s="21" t="str">
        <x:v>TR-B</x:v>
      </x:c>
      <x:c r="E321" s="21" t="str">
        <x:v>viscosity</x:v>
      </x:c>
      <x:c r="F321" s="21" t="str"/>
      <x:c r="G321" s="21" t="str"/>
      <x:c r="H321" s="21" t="str">
        <x:v>OPEN</x:v>
      </x:c>
      <x:c r="I321" s="21" t="str"/>
    </x:row>
    <x:row r="322">
      <x:c r="A322" s="21" t="str">
        <x:v>F2-R07-C06</x:v>
      </x:c>
      <x:c r="B322" s="21" t="str">
        <x:v>F2-R07</x:v>
      </x:c>
      <x:c r="C322" s="21" t="str">
        <x:v>F2</x:v>
      </x:c>
      <x:c r="D322" s="21" t="str">
        <x:v>TR-B</x:v>
      </x:c>
      <x:c r="E322" s="21" t="str">
        <x:v>surface tension</x:v>
      </x:c>
      <x:c r="F322" s="21" t="str"/>
      <x:c r="G322" s="21" t="str"/>
      <x:c r="H322" s="21" t="str">
        <x:v>OPEN</x:v>
      </x:c>
      <x:c r="I322" s="21" t="str"/>
    </x:row>
    <x:row r="323">
      <x:c r="A323" s="21" t="str">
        <x:v>F2-R07-C07</x:v>
      </x:c>
      <x:c r="B323" s="21" t="str">
        <x:v>F2-R07</x:v>
      </x:c>
      <x:c r="C323" s="21" t="str">
        <x:v>F2</x:v>
      </x:c>
      <x:c r="D323" s="21" t="str">
        <x:v>TR-B</x:v>
      </x:c>
      <x:c r="E323" s="21" t="str">
        <x:v>temperature</x:v>
      </x:c>
      <x:c r="F323" s="21" t="str"/>
      <x:c r="G323" s="21" t="str"/>
      <x:c r="H323" s="21" t="str">
        <x:v>OPEN</x:v>
      </x:c>
      <x:c r="I323" s="21" t="str"/>
    </x:row>
    <x:row r="324">
      <x:c r="A324" s="21" t="str">
        <x:v>F2-R07-C08</x:v>
      </x:c>
      <x:c r="B324" s="21" t="str">
        <x:v>F2-R07</x:v>
      </x:c>
      <x:c r="C324" s="21" t="str">
        <x:v>F2</x:v>
      </x:c>
      <x:c r="D324" s="21" t="str">
        <x:v>TR-B</x:v>
      </x:c>
      <x:c r="E324" s="21" t="str">
        <x:v>water fraction</x:v>
      </x:c>
      <x:c r="F324" s="21" t="str"/>
      <x:c r="G324" s="21" t="str"/>
      <x:c r="H324" s="21" t="str">
        <x:v>OPEN</x:v>
      </x:c>
      <x:c r="I324" s="21" t="str"/>
    </x:row>
    <x:row r="325">
      <x:c r="A325" s="21" t="str">
        <x:v>F2-R07-C09</x:v>
      </x:c>
      <x:c r="B325" s="21" t="str">
        <x:v>F2-R07</x:v>
      </x:c>
      <x:c r="C325" s="21" t="str">
        <x:v>F2</x:v>
      </x:c>
      <x:c r="D325" s="21" t="str">
        <x:v>TR-B</x:v>
      </x:c>
      <x:c r="E325" s="21" t="str">
        <x:v>foreign solids</x:v>
      </x:c>
      <x:c r="F325" s="21" t="str"/>
      <x:c r="G325" s="21" t="str"/>
      <x:c r="H325" s="21" t="str">
        <x:v>OPEN</x:v>
      </x:c>
      <x:c r="I325" s="21" t="str"/>
    </x:row>
    <x:row r="326">
      <x:c r="A326" s="21" t="str">
        <x:v>F2-R07-C10</x:v>
      </x:c>
      <x:c r="B326" s="21" t="str">
        <x:v>F2-R07</x:v>
      </x:c>
      <x:c r="C326" s="21" t="str">
        <x:v>F2</x:v>
      </x:c>
      <x:c r="D326" s="21" t="str">
        <x:v>TR-B</x:v>
      </x:c>
      <x:c r="E326" s="21" t="str">
        <x:v>ancestry recovery</x:v>
      </x:c>
      <x:c r="F326" s="21" t="str"/>
      <x:c r="G326" s="21" t="str"/>
      <x:c r="H326" s="21" t="str">
        <x:v>OPEN</x:v>
      </x:c>
      <x:c r="I326" s="21" t="str"/>
    </x:row>
    <x:row r="327">
      <x:c r="A327" s="21" t="str">
        <x:v>F2-R07-C11</x:v>
      </x:c>
      <x:c r="B327" s="21" t="str">
        <x:v>F2-R07</x:v>
      </x:c>
      <x:c r="C327" s="21" t="str">
        <x:v>F2</x:v>
      </x:c>
      <x:c r="D327" s="21" t="str">
        <x:v>TR-B</x:v>
      </x:c>
      <x:c r="E327" s="21" t="str">
        <x:v>custody seal</x:v>
      </x:c>
      <x:c r="F327" s="21" t="str"/>
      <x:c r="G327" s="21" t="str"/>
      <x:c r="H327" s="21" t="str">
        <x:v>OPEN</x:v>
      </x:c>
      <x:c r="I327" s="21" t="str"/>
    </x:row>
    <x:row r="328">
      <x:c r="A328" s="21" t="str">
        <x:v>F2-R07-C12</x:v>
      </x:c>
      <x:c r="B328" s="21" t="str">
        <x:v>F2-R07</x:v>
      </x:c>
      <x:c r="C328" s="21" t="str">
        <x:v>F2</x:v>
      </x:c>
      <x:c r="D328" s="21" t="str">
        <x:v>TR-B</x:v>
      </x:c>
      <x:c r="E328" s="21" t="str">
        <x:v>retained-sample identity</x:v>
      </x:c>
      <x:c r="F328" s="21" t="str"/>
      <x:c r="G328" s="21" t="str"/>
      <x:c r="H328" s="21" t="str">
        <x:v>OPEN</x:v>
      </x:c>
      <x:c r="I328" s="21" t="str"/>
    </x:row>
    <x:row r="329">
      <x:c r="A329" s="21" t="str">
        <x:v>F2-F01-C01</x:v>
      </x:c>
      <x:c r="B329" s="21" t="str">
        <x:v>F2-F01</x:v>
      </x:c>
      <x:c r="C329" s="21" t="str">
        <x:v>F2</x:v>
      </x:c>
      <x:c r="D329" s="21" t="str">
        <x:v>TR-B</x:v>
      </x:c>
      <x:c r="E329" s="21" t="str">
        <x:v>gross mass</x:v>
      </x:c>
      <x:c r="F329" s="21" t="str"/>
      <x:c r="G329" s="21" t="str"/>
      <x:c r="H329" s="21" t="str">
        <x:v>OPEN</x:v>
      </x:c>
      <x:c r="I329" s="21" t="str"/>
    </x:row>
    <x:row r="330">
      <x:c r="A330" s="21" t="str">
        <x:v>F2-F01-C02</x:v>
      </x:c>
      <x:c r="B330" s="21" t="str">
        <x:v>F2-F01</x:v>
      </x:c>
      <x:c r="C330" s="21" t="str">
        <x:v>F2</x:v>
      </x:c>
      <x:c r="D330" s="21" t="str">
        <x:v>TR-B</x:v>
      </x:c>
      <x:c r="E330" s="21" t="str">
        <x:v>event mass</x:v>
      </x:c>
      <x:c r="F330" s="21" t="str"/>
      <x:c r="G330" s="21" t="str"/>
      <x:c r="H330" s="21" t="str">
        <x:v>OPEN</x:v>
      </x:c>
      <x:c r="I330" s="21" t="str"/>
    </x:row>
    <x:row r="331">
      <x:c r="A331" s="21" t="str">
        <x:v>F2-F01-C03</x:v>
      </x:c>
      <x:c r="B331" s="21" t="str">
        <x:v>F2-F01</x:v>
      </x:c>
      <x:c r="C331" s="21" t="str">
        <x:v>F2</x:v>
      </x:c>
      <x:c r="D331" s="21" t="str">
        <x:v>TR-B</x:v>
      </x:c>
      <x:c r="E331" s="21" t="str">
        <x:v>split masses</x:v>
      </x:c>
      <x:c r="F331" s="21" t="str"/>
      <x:c r="G331" s="21" t="str"/>
      <x:c r="H331" s="21" t="str">
        <x:v>OPEN</x:v>
      </x:c>
      <x:c r="I331" s="21" t="str"/>
    </x:row>
    <x:row r="332">
      <x:c r="A332" s="21" t="str">
        <x:v>F2-F01-C04</x:v>
      </x:c>
      <x:c r="B332" s="21" t="str">
        <x:v>F2-F01</x:v>
      </x:c>
      <x:c r="C332" s="21" t="str">
        <x:v>F2</x:v>
      </x:c>
      <x:c r="D332" s="21" t="str">
        <x:v>TR-B</x:v>
      </x:c>
      <x:c r="E332" s="21" t="str">
        <x:v>density</x:v>
      </x:c>
      <x:c r="F332" s="21" t="str"/>
      <x:c r="G332" s="21" t="str"/>
      <x:c r="H332" s="21" t="str">
        <x:v>OPEN</x:v>
      </x:c>
      <x:c r="I332" s="21" t="str"/>
    </x:row>
    <x:row r="333">
      <x:c r="A333" s="21" t="str">
        <x:v>F2-F01-C05</x:v>
      </x:c>
      <x:c r="B333" s="21" t="str">
        <x:v>F2-F01</x:v>
      </x:c>
      <x:c r="C333" s="21" t="str">
        <x:v>F2</x:v>
      </x:c>
      <x:c r="D333" s="21" t="str">
        <x:v>TR-B</x:v>
      </x:c>
      <x:c r="E333" s="21" t="str">
        <x:v>viscosity</x:v>
      </x:c>
      <x:c r="F333" s="21" t="str"/>
      <x:c r="G333" s="21" t="str"/>
      <x:c r="H333" s="21" t="str">
        <x:v>OPEN</x:v>
      </x:c>
      <x:c r="I333" s="21" t="str"/>
    </x:row>
    <x:row r="334">
      <x:c r="A334" s="21" t="str">
        <x:v>F2-F01-C06</x:v>
      </x:c>
      <x:c r="B334" s="21" t="str">
        <x:v>F2-F01</x:v>
      </x:c>
      <x:c r="C334" s="21" t="str">
        <x:v>F2</x:v>
      </x:c>
      <x:c r="D334" s="21" t="str">
        <x:v>TR-B</x:v>
      </x:c>
      <x:c r="E334" s="21" t="str">
        <x:v>surface tension</x:v>
      </x:c>
      <x:c r="F334" s="21" t="str"/>
      <x:c r="G334" s="21" t="str"/>
      <x:c r="H334" s="21" t="str">
        <x:v>OPEN</x:v>
      </x:c>
      <x:c r="I334" s="21" t="str"/>
    </x:row>
    <x:row r="335">
      <x:c r="A335" s="21" t="str">
        <x:v>F2-F01-C07</x:v>
      </x:c>
      <x:c r="B335" s="21" t="str">
        <x:v>F2-F01</x:v>
      </x:c>
      <x:c r="C335" s="21" t="str">
        <x:v>F2</x:v>
      </x:c>
      <x:c r="D335" s="21" t="str">
        <x:v>TR-B</x:v>
      </x:c>
      <x:c r="E335" s="21" t="str">
        <x:v>temperature</x:v>
      </x:c>
      <x:c r="F335" s="21" t="str"/>
      <x:c r="G335" s="21" t="str"/>
      <x:c r="H335" s="21" t="str">
        <x:v>OPEN</x:v>
      </x:c>
      <x:c r="I335" s="21" t="str"/>
    </x:row>
    <x:row r="336">
      <x:c r="A336" s="21" t="str">
        <x:v>F2-F01-C08</x:v>
      </x:c>
      <x:c r="B336" s="21" t="str">
        <x:v>F2-F01</x:v>
      </x:c>
      <x:c r="C336" s="21" t="str">
        <x:v>F2</x:v>
      </x:c>
      <x:c r="D336" s="21" t="str">
        <x:v>TR-B</x:v>
      </x:c>
      <x:c r="E336" s="21" t="str">
        <x:v>water fraction</x:v>
      </x:c>
      <x:c r="F336" s="21" t="str"/>
      <x:c r="G336" s="21" t="str"/>
      <x:c r="H336" s="21" t="str">
        <x:v>OPEN</x:v>
      </x:c>
      <x:c r="I336" s="21" t="str"/>
    </x:row>
    <x:row r="337">
      <x:c r="A337" s="21" t="str">
        <x:v>F2-F01-C09</x:v>
      </x:c>
      <x:c r="B337" s="21" t="str">
        <x:v>F2-F01</x:v>
      </x:c>
      <x:c r="C337" s="21" t="str">
        <x:v>F2</x:v>
      </x:c>
      <x:c r="D337" s="21" t="str">
        <x:v>TR-B</x:v>
      </x:c>
      <x:c r="E337" s="21" t="str">
        <x:v>foreign solids</x:v>
      </x:c>
      <x:c r="F337" s="21" t="str"/>
      <x:c r="G337" s="21" t="str"/>
      <x:c r="H337" s="21" t="str">
        <x:v>OPEN</x:v>
      </x:c>
      <x:c r="I337" s="21" t="str"/>
    </x:row>
    <x:row r="338">
      <x:c r="A338" s="21" t="str">
        <x:v>F2-F01-C10</x:v>
      </x:c>
      <x:c r="B338" s="21" t="str">
        <x:v>F2-F01</x:v>
      </x:c>
      <x:c r="C338" s="21" t="str">
        <x:v>F2</x:v>
      </x:c>
      <x:c r="D338" s="21" t="str">
        <x:v>TR-B</x:v>
      </x:c>
      <x:c r="E338" s="21" t="str">
        <x:v>ancestry recovery</x:v>
      </x:c>
      <x:c r="F338" s="21" t="str"/>
      <x:c r="G338" s="21" t="str"/>
      <x:c r="H338" s="21" t="str">
        <x:v>OPEN</x:v>
      </x:c>
      <x:c r="I338" s="21" t="str"/>
    </x:row>
    <x:row r="339">
      <x:c r="A339" s="21" t="str">
        <x:v>F2-F01-C11</x:v>
      </x:c>
      <x:c r="B339" s="21" t="str">
        <x:v>F2-F01</x:v>
      </x:c>
      <x:c r="C339" s="21" t="str">
        <x:v>F2</x:v>
      </x:c>
      <x:c r="D339" s="21" t="str">
        <x:v>TR-B</x:v>
      </x:c>
      <x:c r="E339" s="21" t="str">
        <x:v>custody seal</x:v>
      </x:c>
      <x:c r="F339" s="21" t="str"/>
      <x:c r="G339" s="21" t="str"/>
      <x:c r="H339" s="21" t="str">
        <x:v>OPEN</x:v>
      </x:c>
      <x:c r="I339" s="21" t="str"/>
    </x:row>
    <x:row r="340">
      <x:c r="A340" s="21" t="str">
        <x:v>F2-F01-C12</x:v>
      </x:c>
      <x:c r="B340" s="21" t="str">
        <x:v>F2-F01</x:v>
      </x:c>
      <x:c r="C340" s="21" t="str">
        <x:v>F2</x:v>
      </x:c>
      <x:c r="D340" s="21" t="str">
        <x:v>TR-B</x:v>
      </x:c>
      <x:c r="E340" s="21" t="str">
        <x:v>retained-sample identity</x:v>
      </x:c>
      <x:c r="F340" s="21" t="str"/>
      <x:c r="G340" s="21" t="str"/>
      <x:c r="H340" s="21" t="str">
        <x:v>OPEN</x:v>
      </x:c>
      <x:c r="I340" s="21" t="str"/>
    </x:row>
  </x:sheetData>
  <x:conditionalFormatting sqref="H5:H340">
    <x:cfRule type="containsText" dxfId="30" priority="1" operator="containsText" text="PASS"/>
    <x:cfRule type="containsText" dxfId="31" priority="2" operator="containsText" text="ACCEPTED"/>
    <x:cfRule type="containsText" dxfId="32" priority="3" operator="containsText" text="OPEN"/>
    <x:cfRule type="containsText" dxfId="33" priority="4" operator="containsText" text="BLOCKED"/>
    <x:cfRule type="containsText" dxfId="34" priority="5" operator="containsText" text="FAIL"/>
    <x:cfRule type="containsText" dxfId="35" priority="6" operator="containsText" text="STOP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14" hidden="0" customWidth="1"/>
    <x:col min="5" max="5" width="15" hidden="0" customWidth="1"/>
    <x:col min="6" max="6" width="14" hidden="0" customWidth="1"/>
    <x:col min="7" max="7" width="42" hidden="0" customWidth="1"/>
    <x:col min="8" max="8" width="15" hidden="0" customWidth="1"/>
    <x:col min="9" max="9" width="26" hidden="0" customWidth="1"/>
    <x:col min="10" max="10" width="22" hidden="0" customWidth="1"/>
  </x:cols>
  <x:sheetData>
    <x:row r="1" ht="28" customHeight="1">
      <x:c r="A1" s="17" t="str">
        <x:v>Twelve-cell eligibility field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34" customHeight="1">
      <x:c r="A2" s="18" t="str">
        <x:v>Every cell closes twenty-four fresh decisions before the public draw.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>
      <x:c r="A4" s="20" t="str">
        <x:v>Gate</x:v>
      </x:c>
      <x:c r="B4" s="20" t="str">
        <x:v>Cell</x:v>
      </x:c>
      <x:c r="C4" s="20" t="str">
        <x:v>Rig</x:v>
      </x:c>
      <x:c r="D4" s="20" t="str">
        <x:v>Campus</x:v>
      </x:c>
      <x:c r="E4" s="20" t="str">
        <x:v>Primary root</x:v>
      </x:c>
      <x:c r="F4" s="20" t="str">
        <x:v>Ordinal</x:v>
      </x:c>
      <x:c r="G4" s="20" t="str">
        <x:v>Requirement</x:v>
      </x:c>
      <x:c r="H4" s="20" t="str">
        <x:v>State</x:v>
      </x:c>
      <x:c r="I4" s="20" t="str">
        <x:v>Evidence root</x:v>
      </x:c>
      <x:c r="J4" s="20" t="str">
        <x:v>Accepted UTC</x:v>
      </x:c>
    </x:row>
    <x:row r="5">
      <x:c r="A5" s="21" t="str">
        <x:v>QE03-C01-E01</x:v>
      </x:c>
      <x:c r="B5" s="21" t="str">
        <x:v>QE03-C01</x:v>
      </x:c>
      <x:c r="C5" s="21" t="str">
        <x:v>RFP-A1</x:v>
      </x:c>
      <x:c r="D5" s="21" t="str">
        <x:v>PTC-A</x:v>
      </x:c>
      <x:c r="E5" s="21" t="str">
        <x:v>TR-A</x:v>
      </x:c>
      <x:c r="F5" s="21" t="n">
        <x:v>1</x:v>
      </x:c>
      <x:c r="G5" s="21" t="str">
        <x:v>RBB-1 source transfer</x:v>
      </x:c>
      <x:c r="H5" s="21" t="str">
        <x:v>OPEN</x:v>
      </x:c>
      <x:c r="I5" s="21" t="str"/>
      <x:c r="J5" s="21" t="str"/>
    </x:row>
    <x:row r="6">
      <x:c r="A6" s="21" t="str">
        <x:v>QE03-C01-E02</x:v>
      </x:c>
      <x:c r="B6" s="21" t="str">
        <x:v>QE03-C01</x:v>
      </x:c>
      <x:c r="C6" s="21" t="str">
        <x:v>RFP-A1</x:v>
      </x:c>
      <x:c r="D6" s="21" t="str">
        <x:v>PTC-A</x:v>
      </x:c>
      <x:c r="E6" s="21" t="str">
        <x:v>TR-A</x:v>
      </x:c>
      <x:c r="F6" s="21" t="n">
        <x:v>2</x:v>
      </x:c>
      <x:c r="G6" s="21" t="str">
        <x:v>article current</x:v>
      </x:c>
      <x:c r="H6" s="21" t="str">
        <x:v>OPEN</x:v>
      </x:c>
      <x:c r="I6" s="21" t="str"/>
      <x:c r="J6" s="21" t="str"/>
    </x:row>
    <x:row r="7">
      <x:c r="A7" s="21" t="str">
        <x:v>QE03-C01-E03</x:v>
      </x:c>
      <x:c r="B7" s="21" t="str">
        <x:v>QE03-C01</x:v>
      </x:c>
      <x:c r="C7" s="21" t="str">
        <x:v>RFP-A1</x:v>
      </x:c>
      <x:c r="D7" s="21" t="str">
        <x:v>PTC-A</x:v>
      </x:c>
      <x:c r="E7" s="21" t="str">
        <x:v>TR-A</x:v>
      </x:c>
      <x:c r="F7" s="21" t="n">
        <x:v>3</x:v>
      </x:c>
      <x:c r="G7" s="21" t="str">
        <x:v>rate trials</x:v>
      </x:c>
      <x:c r="H7" s="21" t="str">
        <x:v>OPEN</x:v>
      </x:c>
      <x:c r="I7" s="21" t="str"/>
      <x:c r="J7" s="21" t="str"/>
    </x:row>
    <x:row r="8">
      <x:c r="A8" s="21" t="str">
        <x:v>QE03-C01-E04</x:v>
      </x:c>
      <x:c r="B8" s="21" t="str">
        <x:v>QE03-C01</x:v>
      </x:c>
      <x:c r="C8" s="21" t="str">
        <x:v>RFP-A1</x:v>
      </x:c>
      <x:c r="D8" s="21" t="str">
        <x:v>PTC-A</x:v>
      </x:c>
      <x:c r="E8" s="21" t="str">
        <x:v>TR-A</x:v>
      </x:c>
      <x:c r="F8" s="21" t="n">
        <x:v>4</x:v>
      </x:c>
      <x:c r="G8" s="21" t="str">
        <x:v>conversion assembly</x:v>
      </x:c>
      <x:c r="H8" s="21" t="str">
        <x:v>OPEN</x:v>
      </x:c>
      <x:c r="I8" s="21" t="str"/>
      <x:c r="J8" s="21" t="str"/>
    </x:row>
    <x:row r="9">
      <x:c r="A9" s="21" t="str">
        <x:v>QE03-C01-E05</x:v>
      </x:c>
      <x:c r="B9" s="21" t="str">
        <x:v>QE03-C01</x:v>
      </x:c>
      <x:c r="C9" s="21" t="str">
        <x:v>RFP-A1</x:v>
      </x:c>
      <x:c r="D9" s="21" t="str">
        <x:v>PTC-A</x:v>
      </x:c>
      <x:c r="E9" s="21" t="str">
        <x:v>TR-A</x:v>
      </x:c>
      <x:c r="F9" s="21" t="n">
        <x:v>5</x:v>
      </x:c>
      <x:c r="G9" s="21" t="str">
        <x:v>receiver capacity</x:v>
      </x:c>
      <x:c r="H9" s="21" t="str">
        <x:v>OPEN</x:v>
      </x:c>
      <x:c r="I9" s="21" t="str"/>
      <x:c r="J9" s="21" t="str"/>
    </x:row>
    <x:row r="10">
      <x:c r="A10" s="21" t="str">
        <x:v>QE03-C01-E06</x:v>
      </x:c>
      <x:c r="B10" s="21" t="str">
        <x:v>QE03-C01</x:v>
      </x:c>
      <x:c r="C10" s="21" t="str">
        <x:v>RFP-A1</x:v>
      </x:c>
      <x:c r="D10" s="21" t="str">
        <x:v>PTC-A</x:v>
      </x:c>
      <x:c r="E10" s="21" t="str">
        <x:v>TR-A</x:v>
      </x:c>
      <x:c r="F10" s="21" t="n">
        <x:v>6</x:v>
      </x:c>
      <x:c r="G10" s="21" t="str">
        <x:v>package accepted</x:v>
      </x:c>
      <x:c r="H10" s="21" t="str">
        <x:v>OPEN</x:v>
      </x:c>
      <x:c r="I10" s="21" t="str"/>
      <x:c r="J10" s="21" t="str"/>
    </x:row>
    <x:row r="11">
      <x:c r="A11" s="21" t="str">
        <x:v>QE03-C01-E07</x:v>
      </x:c>
      <x:c r="B11" s="21" t="str">
        <x:v>QE03-C01</x:v>
      </x:c>
      <x:c r="C11" s="21" t="str">
        <x:v>RFP-A1</x:v>
      </x:c>
      <x:c r="D11" s="21" t="str">
        <x:v>PTC-A</x:v>
      </x:c>
      <x:c r="E11" s="21" t="str">
        <x:v>TR-A</x:v>
      </x:c>
      <x:c r="F11" s="21" t="n">
        <x:v>7</x:v>
      </x:c>
      <x:c r="G11" s="21" t="str">
        <x:v>package characteristics</x:v>
      </x:c>
      <x:c r="H11" s="21" t="str">
        <x:v>OPEN</x:v>
      </x:c>
      <x:c r="I11" s="21" t="str"/>
      <x:c r="J11" s="21" t="str"/>
    </x:row>
    <x:row r="12">
      <x:c r="A12" s="21" t="str">
        <x:v>QE03-C01-E08</x:v>
      </x:c>
      <x:c r="B12" s="21" t="str">
        <x:v>QE03-C01</x:v>
      </x:c>
      <x:c r="C12" s="21" t="str">
        <x:v>RFP-A1</x:v>
      </x:c>
      <x:c r="D12" s="21" t="str">
        <x:v>PTC-A</x:v>
      </x:c>
      <x:c r="E12" s="21" t="str">
        <x:v>TR-A</x:v>
      </x:c>
      <x:c r="F12" s="21" t="n">
        <x:v>8</x:v>
      </x:c>
      <x:c r="G12" s="21" t="str">
        <x:v>source metrology</x:v>
      </x:c>
      <x:c r="H12" s="21" t="str">
        <x:v>OPEN</x:v>
      </x:c>
      <x:c r="I12" s="21" t="str"/>
      <x:c r="J12" s="21" t="str"/>
    </x:row>
    <x:row r="13">
      <x:c r="A13" s="21" t="str">
        <x:v>QE03-C01-E09</x:v>
      </x:c>
      <x:c r="B13" s="21" t="str">
        <x:v>QE03-C01</x:v>
      </x:c>
      <x:c r="C13" s="21" t="str">
        <x:v>RFP-A1</x:v>
      </x:c>
      <x:c r="D13" s="21" t="str">
        <x:v>PTC-A</x:v>
      </x:c>
      <x:c r="E13" s="21" t="str">
        <x:v>TR-A</x:v>
      </x:c>
      <x:c r="F13" s="21" t="n">
        <x:v>9</x:v>
      </x:c>
      <x:c r="G13" s="21" t="str">
        <x:v>dynamic hold-up</x:v>
      </x:c>
      <x:c r="H13" s="21" t="str">
        <x:v>OPEN</x:v>
      </x:c>
      <x:c r="I13" s="21" t="str"/>
      <x:c r="J13" s="21" t="str"/>
    </x:row>
    <x:row r="14">
      <x:c r="A14" s="21" t="str">
        <x:v>QE03-C01-E10</x:v>
      </x:c>
      <x:c r="B14" s="21" t="str">
        <x:v>QE03-C01</x:v>
      </x:c>
      <x:c r="C14" s="21" t="str">
        <x:v>RFP-A1</x:v>
      </x:c>
      <x:c r="D14" s="21" t="str">
        <x:v>PTC-A</x:v>
      </x:c>
      <x:c r="E14" s="21" t="str">
        <x:v>TR-A</x:v>
      </x:c>
      <x:c r="F14" s="21" t="n">
        <x:v>10</x:v>
      </x:c>
      <x:c r="G14" s="21" t="str">
        <x:v>pressure transient</x:v>
      </x:c>
      <x:c r="H14" s="21" t="str">
        <x:v>OPEN</x:v>
      </x:c>
      <x:c r="I14" s="21" t="str"/>
      <x:c r="J14" s="21" t="str"/>
    </x:row>
    <x:row r="15">
      <x:c r="A15" s="21" t="str">
        <x:v>QE03-C01-E11</x:v>
      </x:c>
      <x:c r="B15" s="21" t="str">
        <x:v>QE03-C01</x:v>
      </x:c>
      <x:c r="C15" s="21" t="str">
        <x:v>RFP-A1</x:v>
      </x:c>
      <x:c r="D15" s="21" t="str">
        <x:v>PTC-A</x:v>
      </x:c>
      <x:c r="E15" s="21" t="str">
        <x:v>TR-A</x:v>
      </x:c>
      <x:c r="F15" s="21" t="n">
        <x:v>11</x:v>
      </x:c>
      <x:c r="G15" s="21" t="str">
        <x:v>safeing elements and paths</x:v>
      </x:c>
      <x:c r="H15" s="21" t="str">
        <x:v>OPEN</x:v>
      </x:c>
      <x:c r="I15" s="21" t="str"/>
      <x:c r="J15" s="21" t="str"/>
    </x:row>
    <x:row r="16">
      <x:c r="A16" s="21" t="str">
        <x:v>QE03-C01-E12</x:v>
      </x:c>
      <x:c r="B16" s="21" t="str">
        <x:v>QE03-C01</x:v>
      </x:c>
      <x:c r="C16" s="21" t="str">
        <x:v>RFP-A1</x:v>
      </x:c>
      <x:c r="D16" s="21" t="str">
        <x:v>PTC-A</x:v>
      </x:c>
      <x:c r="E16" s="21" t="str">
        <x:v>TR-A</x:v>
      </x:c>
      <x:c r="F16" s="21" t="n">
        <x:v>12</x:v>
      </x:c>
      <x:c r="G16" s="21" t="str">
        <x:v>casualty custody</x:v>
      </x:c>
      <x:c r="H16" s="21" t="str">
        <x:v>OPEN</x:v>
      </x:c>
      <x:c r="I16" s="21" t="str"/>
      <x:c r="J16" s="21" t="str"/>
    </x:row>
    <x:row r="17">
      <x:c r="A17" s="21" t="str">
        <x:v>QE03-C01-E13</x:v>
      </x:c>
      <x:c r="B17" s="21" t="str">
        <x:v>QE03-C01</x:v>
      </x:c>
      <x:c r="C17" s="21" t="str">
        <x:v>RFP-A1</x:v>
      </x:c>
      <x:c r="D17" s="21" t="str">
        <x:v>PTC-A</x:v>
      </x:c>
      <x:c r="E17" s="21" t="str">
        <x:v>TR-A</x:v>
      </x:c>
      <x:c r="F17" s="21" t="n">
        <x:v>13</x:v>
      </x:c>
      <x:c r="G17" s="21" t="str">
        <x:v>environmental background</x:v>
      </x:c>
      <x:c r="H17" s="21" t="str">
        <x:v>OPEN</x:v>
      </x:c>
      <x:c r="I17" s="21" t="str"/>
      <x:c r="J17" s="21" t="str"/>
    </x:row>
    <x:row r="18">
      <x:c r="A18" s="21" t="str">
        <x:v>QE03-C01-E14</x:v>
      </x:c>
      <x:c r="B18" s="21" t="str">
        <x:v>QE03-C01</x:v>
      </x:c>
      <x:c r="C18" s="21" t="str">
        <x:v>RFP-A1</x:v>
      </x:c>
      <x:c r="D18" s="21" t="str">
        <x:v>PTC-A</x:v>
      </x:c>
      <x:c r="E18" s="21" t="str">
        <x:v>TR-A</x:v>
      </x:c>
      <x:c r="F18" s="21" t="n">
        <x:v>14</x:v>
      </x:c>
      <x:c r="G18" s="21" t="str">
        <x:v>observed zero method water</x:v>
      </x:c>
      <x:c r="H18" s="21" t="str">
        <x:v>OPEN</x:v>
      </x:c>
      <x:c r="I18" s="21" t="str"/>
      <x:c r="J18" s="21" t="str"/>
    </x:row>
    <x:row r="19">
      <x:c r="A19" s="21" t="str">
        <x:v>QE03-C01-E15</x:v>
      </x:c>
      <x:c r="B19" s="21" t="str">
        <x:v>QE03-C01</x:v>
      </x:c>
      <x:c r="C19" s="21" t="str">
        <x:v>RFP-A1</x:v>
      </x:c>
      <x:c r="D19" s="21" t="str">
        <x:v>PTC-A</x:v>
      </x:c>
      <x:c r="E19" s="21" t="str">
        <x:v>TR-A</x:v>
      </x:c>
      <x:c r="F19" s="21" t="n">
        <x:v>15</x:v>
      </x:c>
      <x:c r="G19" s="21" t="str">
        <x:v>evidence capacity</x:v>
      </x:c>
      <x:c r="H19" s="21" t="str">
        <x:v>OPEN</x:v>
      </x:c>
      <x:c r="I19" s="21" t="str"/>
      <x:c r="J19" s="21" t="str"/>
    </x:row>
    <x:row r="20">
      <x:c r="A20" s="21" t="str">
        <x:v>QE03-C01-E16</x:v>
      </x:c>
      <x:c r="B20" s="21" t="str">
        <x:v>QE03-C01</x:v>
      </x:c>
      <x:c r="C20" s="21" t="str">
        <x:v>RFP-A1</x:v>
      </x:c>
      <x:c r="D20" s="21" t="str">
        <x:v>PTC-A</x:v>
      </x:c>
      <x:c r="E20" s="21" t="str">
        <x:v>TR-A</x:v>
      </x:c>
      <x:c r="F20" s="21" t="n">
        <x:v>16</x:v>
      </x:c>
      <x:c r="G20" s="21" t="str">
        <x:v>causal time</x:v>
      </x:c>
      <x:c r="H20" s="21" t="str">
        <x:v>OPEN</x:v>
      </x:c>
      <x:c r="I20" s="21" t="str"/>
      <x:c r="J20" s="21" t="str"/>
    </x:row>
    <x:row r="21">
      <x:c r="A21" s="21" t="str">
        <x:v>QE03-C01-E17</x:v>
      </x:c>
      <x:c r="B21" s="21" t="str">
        <x:v>QE03-C01</x:v>
      </x:c>
      <x:c r="C21" s="21" t="str">
        <x:v>RFP-A1</x:v>
      </x:c>
      <x:c r="D21" s="21" t="str">
        <x:v>PTC-A</x:v>
      </x:c>
      <x:c r="E21" s="21" t="str">
        <x:v>TR-A</x:v>
      </x:c>
      <x:c r="F21" s="21" t="n">
        <x:v>17</x:v>
      </x:c>
      <x:c r="G21" s="21" t="str">
        <x:v>incoming source-exposed baseline</x:v>
      </x:c>
      <x:c r="H21" s="21" t="str">
        <x:v>OPEN</x:v>
      </x:c>
      <x:c r="I21" s="21" t="str"/>
      <x:c r="J21" s="21" t="str"/>
    </x:row>
    <x:row r="22">
      <x:c r="A22" s="21" t="str">
        <x:v>QE03-C01-E18</x:v>
      </x:c>
      <x:c r="B22" s="21" t="str">
        <x:v>QE03-C01</x:v>
      </x:c>
      <x:c r="C22" s="21" t="str">
        <x:v>RFP-A1</x:v>
      </x:c>
      <x:c r="D22" s="21" t="str">
        <x:v>PTC-A</x:v>
      </x:c>
      <x:c r="E22" s="21" t="str">
        <x:v>TR-A</x:v>
      </x:c>
      <x:c r="F22" s="21" t="n">
        <x:v>18</x:v>
      </x:c>
      <x:c r="G22" s="21" t="str">
        <x:v>64-position crew</x:v>
      </x:c>
      <x:c r="H22" s="21" t="str">
        <x:v>OPEN</x:v>
      </x:c>
      <x:c r="I22" s="21" t="str"/>
      <x:c r="J22" s="21" t="str"/>
    </x:row>
    <x:row r="23">
      <x:c r="A23" s="21" t="str">
        <x:v>QE03-C01-E19</x:v>
      </x:c>
      <x:c r="B23" s="21" t="str">
        <x:v>QE03-C01</x:v>
      </x:c>
      <x:c r="C23" s="21" t="str">
        <x:v>RFP-A1</x:v>
      </x:c>
      <x:c r="D23" s="21" t="str">
        <x:v>PTC-A</x:v>
      </x:c>
      <x:c r="E23" s="21" t="str">
        <x:v>TR-A</x:v>
      </x:c>
      <x:c r="F23" s="21" t="n">
        <x:v>19</x:v>
      </x:c>
      <x:c r="G23" s="21" t="str">
        <x:v>rescue and exclusion</x:v>
      </x:c>
      <x:c r="H23" s="21" t="str">
        <x:v>OPEN</x:v>
      </x:c>
      <x:c r="I23" s="21" t="str"/>
      <x:c r="J23" s="21" t="str"/>
    </x:row>
    <x:row r="24">
      <x:c r="A24" s="21" t="str">
        <x:v>QE03-C01-E20</x:v>
      </x:c>
      <x:c r="B24" s="21" t="str">
        <x:v>QE03-C01</x:v>
      </x:c>
      <x:c r="C24" s="21" t="str">
        <x:v>RFP-A1</x:v>
      </x:c>
      <x:c r="D24" s="21" t="str">
        <x:v>PTC-A</x:v>
      </x:c>
      <x:c r="E24" s="21" t="str">
        <x:v>TR-A</x:v>
      </x:c>
      <x:c r="F24" s="21" t="n">
        <x:v>20</x:v>
      </x:c>
      <x:c r="G24" s="21" t="str">
        <x:v>waste destinations</x:v>
      </x:c>
      <x:c r="H24" s="21" t="str">
        <x:v>OPEN</x:v>
      </x:c>
      <x:c r="I24" s="21" t="str"/>
      <x:c r="J24" s="21" t="str"/>
    </x:row>
    <x:row r="25">
      <x:c r="A25" s="21" t="str">
        <x:v>QE03-C01-E21</x:v>
      </x:c>
      <x:c r="B25" s="21" t="str">
        <x:v>QE03-C01</x:v>
      </x:c>
      <x:c r="C25" s="21" t="str">
        <x:v>RFP-A1</x:v>
      </x:c>
      <x:c r="D25" s="21" t="str">
        <x:v>PTC-A</x:v>
      </x:c>
      <x:c r="E25" s="21" t="str">
        <x:v>TR-A</x:v>
      </x:c>
      <x:c r="F25" s="21" t="n">
        <x:v>21</x:v>
      </x:c>
      <x:c r="G25" s="21" t="str">
        <x:v>outside-origin replay</x:v>
      </x:c>
      <x:c r="H25" s="21" t="str">
        <x:v>OPEN</x:v>
      </x:c>
      <x:c r="I25" s="21" t="str"/>
      <x:c r="J25" s="21" t="str"/>
    </x:row>
    <x:row r="26">
      <x:c r="A26" s="21" t="str">
        <x:v>QE03-C01-E22</x:v>
      </x:c>
      <x:c r="B26" s="21" t="str">
        <x:v>QE03-C01</x:v>
      </x:c>
      <x:c r="C26" s="21" t="str">
        <x:v>RFP-A1</x:v>
      </x:c>
      <x:c r="D26" s="21" t="str">
        <x:v>PTC-A</x:v>
      </x:c>
      <x:c r="E26" s="21" t="str">
        <x:v>TR-A</x:v>
      </x:c>
      <x:c r="F26" s="21" t="n">
        <x:v>22</x:v>
      </x:c>
      <x:c r="G26" s="21" t="str">
        <x:v>neighbor state</x:v>
      </x:c>
      <x:c r="H26" s="21" t="str">
        <x:v>OPEN</x:v>
      </x:c>
      <x:c r="I26" s="21" t="str"/>
      <x:c r="J26" s="21" t="str"/>
    </x:row>
    <x:row r="27">
      <x:c r="A27" s="21" t="str">
        <x:v>QE03-C01-E23</x:v>
      </x:c>
      <x:c r="B27" s="21" t="str">
        <x:v>QE03-C01</x:v>
      </x:c>
      <x:c r="C27" s="21" t="str">
        <x:v>RFP-A1</x:v>
      </x:c>
      <x:c r="D27" s="21" t="str">
        <x:v>PTC-A</x:v>
      </x:c>
      <x:c r="E27" s="21" t="str">
        <x:v>TR-A</x:v>
      </x:c>
      <x:c r="F27" s="21" t="n">
        <x:v>23</x:v>
      </x:c>
      <x:c r="G27" s="21" t="str">
        <x:v>change freeze</x:v>
      </x:c>
      <x:c r="H27" s="21" t="str">
        <x:v>OPEN</x:v>
      </x:c>
      <x:c r="I27" s="21" t="str"/>
      <x:c r="J27" s="21" t="str"/>
    </x:row>
    <x:row r="28">
      <x:c r="A28" s="21" t="str">
        <x:v>QE03-C01-E24</x:v>
      </x:c>
      <x:c r="B28" s="21" t="str">
        <x:v>QE03-C01</x:v>
      </x:c>
      <x:c r="C28" s="21" t="str">
        <x:v>RFP-A1</x:v>
      </x:c>
      <x:c r="D28" s="21" t="str">
        <x:v>PTC-A</x:v>
      </x:c>
      <x:c r="E28" s="21" t="str">
        <x:v>TR-A</x:v>
      </x:c>
      <x:c r="F28" s="21" t="n">
        <x:v>24</x:v>
      </x:c>
      <x:c r="G28" s="21" t="str">
        <x:v>issue concurrence</x:v>
      </x:c>
      <x:c r="H28" s="21" t="str">
        <x:v>OPEN</x:v>
      </x:c>
      <x:c r="I28" s="21" t="str"/>
      <x:c r="J28" s="21" t="str"/>
    </x:row>
    <x:row r="29">
      <x:c r="A29" s="21" t="str">
        <x:v>QE03-C02-E01</x:v>
      </x:c>
      <x:c r="B29" s="21" t="str">
        <x:v>QE03-C02</x:v>
      </x:c>
      <x:c r="C29" s="21" t="str">
        <x:v>RFP-A1</x:v>
      </x:c>
      <x:c r="D29" s="21" t="str">
        <x:v>PTC-A</x:v>
      </x:c>
      <x:c r="E29" s="21" t="str">
        <x:v>TR-B</x:v>
      </x:c>
      <x:c r="F29" s="21" t="n">
        <x:v>1</x:v>
      </x:c>
      <x:c r="G29" s="21" t="str">
        <x:v>RBB-1 source transfer</x:v>
      </x:c>
      <x:c r="H29" s="21" t="str">
        <x:v>OPEN</x:v>
      </x:c>
      <x:c r="I29" s="21" t="str"/>
      <x:c r="J29" s="21" t="str"/>
    </x:row>
    <x:row r="30">
      <x:c r="A30" s="21" t="str">
        <x:v>QE03-C02-E02</x:v>
      </x:c>
      <x:c r="B30" s="21" t="str">
        <x:v>QE03-C02</x:v>
      </x:c>
      <x:c r="C30" s="21" t="str">
        <x:v>RFP-A1</x:v>
      </x:c>
      <x:c r="D30" s="21" t="str">
        <x:v>PTC-A</x:v>
      </x:c>
      <x:c r="E30" s="21" t="str">
        <x:v>TR-B</x:v>
      </x:c>
      <x:c r="F30" s="21" t="n">
        <x:v>2</x:v>
      </x:c>
      <x:c r="G30" s="21" t="str">
        <x:v>article current</x:v>
      </x:c>
      <x:c r="H30" s="21" t="str">
        <x:v>OPEN</x:v>
      </x:c>
      <x:c r="I30" s="21" t="str"/>
      <x:c r="J30" s="21" t="str"/>
    </x:row>
    <x:row r="31">
      <x:c r="A31" s="21" t="str">
        <x:v>QE03-C02-E03</x:v>
      </x:c>
      <x:c r="B31" s="21" t="str">
        <x:v>QE03-C02</x:v>
      </x:c>
      <x:c r="C31" s="21" t="str">
        <x:v>RFP-A1</x:v>
      </x:c>
      <x:c r="D31" s="21" t="str">
        <x:v>PTC-A</x:v>
      </x:c>
      <x:c r="E31" s="21" t="str">
        <x:v>TR-B</x:v>
      </x:c>
      <x:c r="F31" s="21" t="n">
        <x:v>3</x:v>
      </x:c>
      <x:c r="G31" s="21" t="str">
        <x:v>rate trials</x:v>
      </x:c>
      <x:c r="H31" s="21" t="str">
        <x:v>OPEN</x:v>
      </x:c>
      <x:c r="I31" s="21" t="str"/>
      <x:c r="J31" s="21" t="str"/>
    </x:row>
    <x:row r="32">
      <x:c r="A32" s="21" t="str">
        <x:v>QE03-C02-E04</x:v>
      </x:c>
      <x:c r="B32" s="21" t="str">
        <x:v>QE03-C02</x:v>
      </x:c>
      <x:c r="C32" s="21" t="str">
        <x:v>RFP-A1</x:v>
      </x:c>
      <x:c r="D32" s="21" t="str">
        <x:v>PTC-A</x:v>
      </x:c>
      <x:c r="E32" s="21" t="str">
        <x:v>TR-B</x:v>
      </x:c>
      <x:c r="F32" s="21" t="n">
        <x:v>4</x:v>
      </x:c>
      <x:c r="G32" s="21" t="str">
        <x:v>conversion assembly</x:v>
      </x:c>
      <x:c r="H32" s="21" t="str">
        <x:v>OPEN</x:v>
      </x:c>
      <x:c r="I32" s="21" t="str"/>
      <x:c r="J32" s="21" t="str"/>
    </x:row>
    <x:row r="33">
      <x:c r="A33" s="21" t="str">
        <x:v>QE03-C02-E05</x:v>
      </x:c>
      <x:c r="B33" s="21" t="str">
        <x:v>QE03-C02</x:v>
      </x:c>
      <x:c r="C33" s="21" t="str">
        <x:v>RFP-A1</x:v>
      </x:c>
      <x:c r="D33" s="21" t="str">
        <x:v>PTC-A</x:v>
      </x:c>
      <x:c r="E33" s="21" t="str">
        <x:v>TR-B</x:v>
      </x:c>
      <x:c r="F33" s="21" t="n">
        <x:v>5</x:v>
      </x:c>
      <x:c r="G33" s="21" t="str">
        <x:v>receiver capacity</x:v>
      </x:c>
      <x:c r="H33" s="21" t="str">
        <x:v>OPEN</x:v>
      </x:c>
      <x:c r="I33" s="21" t="str"/>
      <x:c r="J33" s="21" t="str"/>
    </x:row>
    <x:row r="34">
      <x:c r="A34" s="21" t="str">
        <x:v>QE03-C02-E06</x:v>
      </x:c>
      <x:c r="B34" s="21" t="str">
        <x:v>QE03-C02</x:v>
      </x:c>
      <x:c r="C34" s="21" t="str">
        <x:v>RFP-A1</x:v>
      </x:c>
      <x:c r="D34" s="21" t="str">
        <x:v>PTC-A</x:v>
      </x:c>
      <x:c r="E34" s="21" t="str">
        <x:v>TR-B</x:v>
      </x:c>
      <x:c r="F34" s="21" t="n">
        <x:v>6</x:v>
      </x:c>
      <x:c r="G34" s="21" t="str">
        <x:v>package accepted</x:v>
      </x:c>
      <x:c r="H34" s="21" t="str">
        <x:v>OPEN</x:v>
      </x:c>
      <x:c r="I34" s="21" t="str"/>
      <x:c r="J34" s="21" t="str"/>
    </x:row>
    <x:row r="35">
      <x:c r="A35" s="21" t="str">
        <x:v>QE03-C02-E07</x:v>
      </x:c>
      <x:c r="B35" s="21" t="str">
        <x:v>QE03-C02</x:v>
      </x:c>
      <x:c r="C35" s="21" t="str">
        <x:v>RFP-A1</x:v>
      </x:c>
      <x:c r="D35" s="21" t="str">
        <x:v>PTC-A</x:v>
      </x:c>
      <x:c r="E35" s="21" t="str">
        <x:v>TR-B</x:v>
      </x:c>
      <x:c r="F35" s="21" t="n">
        <x:v>7</x:v>
      </x:c>
      <x:c r="G35" s="21" t="str">
        <x:v>package characteristics</x:v>
      </x:c>
      <x:c r="H35" s="21" t="str">
        <x:v>OPEN</x:v>
      </x:c>
      <x:c r="I35" s="21" t="str"/>
      <x:c r="J35" s="21" t="str"/>
    </x:row>
    <x:row r="36">
      <x:c r="A36" s="21" t="str">
        <x:v>QE03-C02-E08</x:v>
      </x:c>
      <x:c r="B36" s="21" t="str">
        <x:v>QE03-C02</x:v>
      </x:c>
      <x:c r="C36" s="21" t="str">
        <x:v>RFP-A1</x:v>
      </x:c>
      <x:c r="D36" s="21" t="str">
        <x:v>PTC-A</x:v>
      </x:c>
      <x:c r="E36" s="21" t="str">
        <x:v>TR-B</x:v>
      </x:c>
      <x:c r="F36" s="21" t="n">
        <x:v>8</x:v>
      </x:c>
      <x:c r="G36" s="21" t="str">
        <x:v>source metrology</x:v>
      </x:c>
      <x:c r="H36" s="21" t="str">
        <x:v>OPEN</x:v>
      </x:c>
      <x:c r="I36" s="21" t="str"/>
      <x:c r="J36" s="21" t="str"/>
    </x:row>
    <x:row r="37">
      <x:c r="A37" s="21" t="str">
        <x:v>QE03-C02-E09</x:v>
      </x:c>
      <x:c r="B37" s="21" t="str">
        <x:v>QE03-C02</x:v>
      </x:c>
      <x:c r="C37" s="21" t="str">
        <x:v>RFP-A1</x:v>
      </x:c>
      <x:c r="D37" s="21" t="str">
        <x:v>PTC-A</x:v>
      </x:c>
      <x:c r="E37" s="21" t="str">
        <x:v>TR-B</x:v>
      </x:c>
      <x:c r="F37" s="21" t="n">
        <x:v>9</x:v>
      </x:c>
      <x:c r="G37" s="21" t="str">
        <x:v>dynamic hold-up</x:v>
      </x:c>
      <x:c r="H37" s="21" t="str">
        <x:v>OPEN</x:v>
      </x:c>
      <x:c r="I37" s="21" t="str"/>
      <x:c r="J37" s="21" t="str"/>
    </x:row>
    <x:row r="38">
      <x:c r="A38" s="21" t="str">
        <x:v>QE03-C02-E10</x:v>
      </x:c>
      <x:c r="B38" s="21" t="str">
        <x:v>QE03-C02</x:v>
      </x:c>
      <x:c r="C38" s="21" t="str">
        <x:v>RFP-A1</x:v>
      </x:c>
      <x:c r="D38" s="21" t="str">
        <x:v>PTC-A</x:v>
      </x:c>
      <x:c r="E38" s="21" t="str">
        <x:v>TR-B</x:v>
      </x:c>
      <x:c r="F38" s="21" t="n">
        <x:v>10</x:v>
      </x:c>
      <x:c r="G38" s="21" t="str">
        <x:v>pressure transient</x:v>
      </x:c>
      <x:c r="H38" s="21" t="str">
        <x:v>OPEN</x:v>
      </x:c>
      <x:c r="I38" s="21" t="str"/>
      <x:c r="J38" s="21" t="str"/>
    </x:row>
    <x:row r="39">
      <x:c r="A39" s="21" t="str">
        <x:v>QE03-C02-E11</x:v>
      </x:c>
      <x:c r="B39" s="21" t="str">
        <x:v>QE03-C02</x:v>
      </x:c>
      <x:c r="C39" s="21" t="str">
        <x:v>RFP-A1</x:v>
      </x:c>
      <x:c r="D39" s="21" t="str">
        <x:v>PTC-A</x:v>
      </x:c>
      <x:c r="E39" s="21" t="str">
        <x:v>TR-B</x:v>
      </x:c>
      <x:c r="F39" s="21" t="n">
        <x:v>11</x:v>
      </x:c>
      <x:c r="G39" s="21" t="str">
        <x:v>safeing elements and paths</x:v>
      </x:c>
      <x:c r="H39" s="21" t="str">
        <x:v>OPEN</x:v>
      </x:c>
      <x:c r="I39" s="21" t="str"/>
      <x:c r="J39" s="21" t="str"/>
    </x:row>
    <x:row r="40">
      <x:c r="A40" s="21" t="str">
        <x:v>QE03-C02-E12</x:v>
      </x:c>
      <x:c r="B40" s="21" t="str">
        <x:v>QE03-C02</x:v>
      </x:c>
      <x:c r="C40" s="21" t="str">
        <x:v>RFP-A1</x:v>
      </x:c>
      <x:c r="D40" s="21" t="str">
        <x:v>PTC-A</x:v>
      </x:c>
      <x:c r="E40" s="21" t="str">
        <x:v>TR-B</x:v>
      </x:c>
      <x:c r="F40" s="21" t="n">
        <x:v>12</x:v>
      </x:c>
      <x:c r="G40" s="21" t="str">
        <x:v>casualty custody</x:v>
      </x:c>
      <x:c r="H40" s="21" t="str">
        <x:v>OPEN</x:v>
      </x:c>
      <x:c r="I40" s="21" t="str"/>
      <x:c r="J40" s="21" t="str"/>
    </x:row>
    <x:row r="41">
      <x:c r="A41" s="21" t="str">
        <x:v>QE03-C02-E13</x:v>
      </x:c>
      <x:c r="B41" s="21" t="str">
        <x:v>QE03-C02</x:v>
      </x:c>
      <x:c r="C41" s="21" t="str">
        <x:v>RFP-A1</x:v>
      </x:c>
      <x:c r="D41" s="21" t="str">
        <x:v>PTC-A</x:v>
      </x:c>
      <x:c r="E41" s="21" t="str">
        <x:v>TR-B</x:v>
      </x:c>
      <x:c r="F41" s="21" t="n">
        <x:v>13</x:v>
      </x:c>
      <x:c r="G41" s="21" t="str">
        <x:v>environmental background</x:v>
      </x:c>
      <x:c r="H41" s="21" t="str">
        <x:v>OPEN</x:v>
      </x:c>
      <x:c r="I41" s="21" t="str"/>
      <x:c r="J41" s="21" t="str"/>
    </x:row>
    <x:row r="42">
      <x:c r="A42" s="21" t="str">
        <x:v>QE03-C02-E14</x:v>
      </x:c>
      <x:c r="B42" s="21" t="str">
        <x:v>QE03-C02</x:v>
      </x:c>
      <x:c r="C42" s="21" t="str">
        <x:v>RFP-A1</x:v>
      </x:c>
      <x:c r="D42" s="21" t="str">
        <x:v>PTC-A</x:v>
      </x:c>
      <x:c r="E42" s="21" t="str">
        <x:v>TR-B</x:v>
      </x:c>
      <x:c r="F42" s="21" t="n">
        <x:v>14</x:v>
      </x:c>
      <x:c r="G42" s="21" t="str">
        <x:v>observed zero method water</x:v>
      </x:c>
      <x:c r="H42" s="21" t="str">
        <x:v>OPEN</x:v>
      </x:c>
      <x:c r="I42" s="21" t="str"/>
      <x:c r="J42" s="21" t="str"/>
    </x:row>
    <x:row r="43">
      <x:c r="A43" s="21" t="str">
        <x:v>QE03-C02-E15</x:v>
      </x:c>
      <x:c r="B43" s="21" t="str">
        <x:v>QE03-C02</x:v>
      </x:c>
      <x:c r="C43" s="21" t="str">
        <x:v>RFP-A1</x:v>
      </x:c>
      <x:c r="D43" s="21" t="str">
        <x:v>PTC-A</x:v>
      </x:c>
      <x:c r="E43" s="21" t="str">
        <x:v>TR-B</x:v>
      </x:c>
      <x:c r="F43" s="21" t="n">
        <x:v>15</x:v>
      </x:c>
      <x:c r="G43" s="21" t="str">
        <x:v>evidence capacity</x:v>
      </x:c>
      <x:c r="H43" s="21" t="str">
        <x:v>OPEN</x:v>
      </x:c>
      <x:c r="I43" s="21" t="str"/>
      <x:c r="J43" s="21" t="str"/>
    </x:row>
    <x:row r="44">
      <x:c r="A44" s="21" t="str">
        <x:v>QE03-C02-E16</x:v>
      </x:c>
      <x:c r="B44" s="21" t="str">
        <x:v>QE03-C02</x:v>
      </x:c>
      <x:c r="C44" s="21" t="str">
        <x:v>RFP-A1</x:v>
      </x:c>
      <x:c r="D44" s="21" t="str">
        <x:v>PTC-A</x:v>
      </x:c>
      <x:c r="E44" s="21" t="str">
        <x:v>TR-B</x:v>
      </x:c>
      <x:c r="F44" s="21" t="n">
        <x:v>16</x:v>
      </x:c>
      <x:c r="G44" s="21" t="str">
        <x:v>causal time</x:v>
      </x:c>
      <x:c r="H44" s="21" t="str">
        <x:v>OPEN</x:v>
      </x:c>
      <x:c r="I44" s="21" t="str"/>
      <x:c r="J44" s="21" t="str"/>
    </x:row>
    <x:row r="45">
      <x:c r="A45" s="21" t="str">
        <x:v>QE03-C02-E17</x:v>
      </x:c>
      <x:c r="B45" s="21" t="str">
        <x:v>QE03-C02</x:v>
      </x:c>
      <x:c r="C45" s="21" t="str">
        <x:v>RFP-A1</x:v>
      </x:c>
      <x:c r="D45" s="21" t="str">
        <x:v>PTC-A</x:v>
      </x:c>
      <x:c r="E45" s="21" t="str">
        <x:v>TR-B</x:v>
      </x:c>
      <x:c r="F45" s="21" t="n">
        <x:v>17</x:v>
      </x:c>
      <x:c r="G45" s="21" t="str">
        <x:v>incoming source-exposed baseline</x:v>
      </x:c>
      <x:c r="H45" s="21" t="str">
        <x:v>OPEN</x:v>
      </x:c>
      <x:c r="I45" s="21" t="str"/>
      <x:c r="J45" s="21" t="str"/>
    </x:row>
    <x:row r="46">
      <x:c r="A46" s="21" t="str">
        <x:v>QE03-C02-E18</x:v>
      </x:c>
      <x:c r="B46" s="21" t="str">
        <x:v>QE03-C02</x:v>
      </x:c>
      <x:c r="C46" s="21" t="str">
        <x:v>RFP-A1</x:v>
      </x:c>
      <x:c r="D46" s="21" t="str">
        <x:v>PTC-A</x:v>
      </x:c>
      <x:c r="E46" s="21" t="str">
        <x:v>TR-B</x:v>
      </x:c>
      <x:c r="F46" s="21" t="n">
        <x:v>18</x:v>
      </x:c>
      <x:c r="G46" s="21" t="str">
        <x:v>64-position crew</x:v>
      </x:c>
      <x:c r="H46" s="21" t="str">
        <x:v>OPEN</x:v>
      </x:c>
      <x:c r="I46" s="21" t="str"/>
      <x:c r="J46" s="21" t="str"/>
    </x:row>
    <x:row r="47">
      <x:c r="A47" s="21" t="str">
        <x:v>QE03-C02-E19</x:v>
      </x:c>
      <x:c r="B47" s="21" t="str">
        <x:v>QE03-C02</x:v>
      </x:c>
      <x:c r="C47" s="21" t="str">
        <x:v>RFP-A1</x:v>
      </x:c>
      <x:c r="D47" s="21" t="str">
        <x:v>PTC-A</x:v>
      </x:c>
      <x:c r="E47" s="21" t="str">
        <x:v>TR-B</x:v>
      </x:c>
      <x:c r="F47" s="21" t="n">
        <x:v>19</x:v>
      </x:c>
      <x:c r="G47" s="21" t="str">
        <x:v>rescue and exclusion</x:v>
      </x:c>
      <x:c r="H47" s="21" t="str">
        <x:v>OPEN</x:v>
      </x:c>
      <x:c r="I47" s="21" t="str"/>
      <x:c r="J47" s="21" t="str"/>
    </x:row>
    <x:row r="48">
      <x:c r="A48" s="21" t="str">
        <x:v>QE03-C02-E20</x:v>
      </x:c>
      <x:c r="B48" s="21" t="str">
        <x:v>QE03-C02</x:v>
      </x:c>
      <x:c r="C48" s="21" t="str">
        <x:v>RFP-A1</x:v>
      </x:c>
      <x:c r="D48" s="21" t="str">
        <x:v>PTC-A</x:v>
      </x:c>
      <x:c r="E48" s="21" t="str">
        <x:v>TR-B</x:v>
      </x:c>
      <x:c r="F48" s="21" t="n">
        <x:v>20</x:v>
      </x:c>
      <x:c r="G48" s="21" t="str">
        <x:v>waste destinations</x:v>
      </x:c>
      <x:c r="H48" s="21" t="str">
        <x:v>OPEN</x:v>
      </x:c>
      <x:c r="I48" s="21" t="str"/>
      <x:c r="J48" s="21" t="str"/>
    </x:row>
    <x:row r="49">
      <x:c r="A49" s="21" t="str">
        <x:v>QE03-C02-E21</x:v>
      </x:c>
      <x:c r="B49" s="21" t="str">
        <x:v>QE03-C02</x:v>
      </x:c>
      <x:c r="C49" s="21" t="str">
        <x:v>RFP-A1</x:v>
      </x:c>
      <x:c r="D49" s="21" t="str">
        <x:v>PTC-A</x:v>
      </x:c>
      <x:c r="E49" s="21" t="str">
        <x:v>TR-B</x:v>
      </x:c>
      <x:c r="F49" s="21" t="n">
        <x:v>21</x:v>
      </x:c>
      <x:c r="G49" s="21" t="str">
        <x:v>outside-origin replay</x:v>
      </x:c>
      <x:c r="H49" s="21" t="str">
        <x:v>OPEN</x:v>
      </x:c>
      <x:c r="I49" s="21" t="str"/>
      <x:c r="J49" s="21" t="str"/>
    </x:row>
    <x:row r="50">
      <x:c r="A50" s="21" t="str">
        <x:v>QE03-C02-E22</x:v>
      </x:c>
      <x:c r="B50" s="21" t="str">
        <x:v>QE03-C02</x:v>
      </x:c>
      <x:c r="C50" s="21" t="str">
        <x:v>RFP-A1</x:v>
      </x:c>
      <x:c r="D50" s="21" t="str">
        <x:v>PTC-A</x:v>
      </x:c>
      <x:c r="E50" s="21" t="str">
        <x:v>TR-B</x:v>
      </x:c>
      <x:c r="F50" s="21" t="n">
        <x:v>22</x:v>
      </x:c>
      <x:c r="G50" s="21" t="str">
        <x:v>neighbor state</x:v>
      </x:c>
      <x:c r="H50" s="21" t="str">
        <x:v>OPEN</x:v>
      </x:c>
      <x:c r="I50" s="21" t="str"/>
      <x:c r="J50" s="21" t="str"/>
    </x:row>
    <x:row r="51">
      <x:c r="A51" s="21" t="str">
        <x:v>QE03-C02-E23</x:v>
      </x:c>
      <x:c r="B51" s="21" t="str">
        <x:v>QE03-C02</x:v>
      </x:c>
      <x:c r="C51" s="21" t="str">
        <x:v>RFP-A1</x:v>
      </x:c>
      <x:c r="D51" s="21" t="str">
        <x:v>PTC-A</x:v>
      </x:c>
      <x:c r="E51" s="21" t="str">
        <x:v>TR-B</x:v>
      </x:c>
      <x:c r="F51" s="21" t="n">
        <x:v>23</x:v>
      </x:c>
      <x:c r="G51" s="21" t="str">
        <x:v>change freeze</x:v>
      </x:c>
      <x:c r="H51" s="21" t="str">
        <x:v>OPEN</x:v>
      </x:c>
      <x:c r="I51" s="21" t="str"/>
      <x:c r="J51" s="21" t="str"/>
    </x:row>
    <x:row r="52">
      <x:c r="A52" s="21" t="str">
        <x:v>QE03-C02-E24</x:v>
      </x:c>
      <x:c r="B52" s="21" t="str">
        <x:v>QE03-C02</x:v>
      </x:c>
      <x:c r="C52" s="21" t="str">
        <x:v>RFP-A1</x:v>
      </x:c>
      <x:c r="D52" s="21" t="str">
        <x:v>PTC-A</x:v>
      </x:c>
      <x:c r="E52" s="21" t="str">
        <x:v>TR-B</x:v>
      </x:c>
      <x:c r="F52" s="21" t="n">
        <x:v>24</x:v>
      </x:c>
      <x:c r="G52" s="21" t="str">
        <x:v>issue concurrence</x:v>
      </x:c>
      <x:c r="H52" s="21" t="str">
        <x:v>OPEN</x:v>
      </x:c>
      <x:c r="I52" s="21" t="str"/>
      <x:c r="J52" s="21" t="str"/>
    </x:row>
    <x:row r="53">
      <x:c r="A53" s="21" t="str">
        <x:v>QE03-C03-E01</x:v>
      </x:c>
      <x:c r="B53" s="21" t="str">
        <x:v>QE03-C03</x:v>
      </x:c>
      <x:c r="C53" s="21" t="str">
        <x:v>RFP-A2</x:v>
      </x:c>
      <x:c r="D53" s="21" t="str">
        <x:v>PTC-A</x:v>
      </x:c>
      <x:c r="E53" s="21" t="str">
        <x:v>TR-A</x:v>
      </x:c>
      <x:c r="F53" s="21" t="n">
        <x:v>1</x:v>
      </x:c>
      <x:c r="G53" s="21" t="str">
        <x:v>RBB-1 source transfer</x:v>
      </x:c>
      <x:c r="H53" s="21" t="str">
        <x:v>OPEN</x:v>
      </x:c>
      <x:c r="I53" s="21" t="str"/>
      <x:c r="J53" s="21" t="str"/>
    </x:row>
    <x:row r="54">
      <x:c r="A54" s="21" t="str">
        <x:v>QE03-C03-E02</x:v>
      </x:c>
      <x:c r="B54" s="21" t="str">
        <x:v>QE03-C03</x:v>
      </x:c>
      <x:c r="C54" s="21" t="str">
        <x:v>RFP-A2</x:v>
      </x:c>
      <x:c r="D54" s="21" t="str">
        <x:v>PTC-A</x:v>
      </x:c>
      <x:c r="E54" s="21" t="str">
        <x:v>TR-A</x:v>
      </x:c>
      <x:c r="F54" s="21" t="n">
        <x:v>2</x:v>
      </x:c>
      <x:c r="G54" s="21" t="str">
        <x:v>article current</x:v>
      </x:c>
      <x:c r="H54" s="21" t="str">
        <x:v>OPEN</x:v>
      </x:c>
      <x:c r="I54" s="21" t="str"/>
      <x:c r="J54" s="21" t="str"/>
    </x:row>
    <x:row r="55">
      <x:c r="A55" s="21" t="str">
        <x:v>QE03-C03-E03</x:v>
      </x:c>
      <x:c r="B55" s="21" t="str">
        <x:v>QE03-C03</x:v>
      </x:c>
      <x:c r="C55" s="21" t="str">
        <x:v>RFP-A2</x:v>
      </x:c>
      <x:c r="D55" s="21" t="str">
        <x:v>PTC-A</x:v>
      </x:c>
      <x:c r="E55" s="21" t="str">
        <x:v>TR-A</x:v>
      </x:c>
      <x:c r="F55" s="21" t="n">
        <x:v>3</x:v>
      </x:c>
      <x:c r="G55" s="21" t="str">
        <x:v>rate trials</x:v>
      </x:c>
      <x:c r="H55" s="21" t="str">
        <x:v>OPEN</x:v>
      </x:c>
      <x:c r="I55" s="21" t="str"/>
      <x:c r="J55" s="21" t="str"/>
    </x:row>
    <x:row r="56">
      <x:c r="A56" s="21" t="str">
        <x:v>QE03-C03-E04</x:v>
      </x:c>
      <x:c r="B56" s="21" t="str">
        <x:v>QE03-C03</x:v>
      </x:c>
      <x:c r="C56" s="21" t="str">
        <x:v>RFP-A2</x:v>
      </x:c>
      <x:c r="D56" s="21" t="str">
        <x:v>PTC-A</x:v>
      </x:c>
      <x:c r="E56" s="21" t="str">
        <x:v>TR-A</x:v>
      </x:c>
      <x:c r="F56" s="21" t="n">
        <x:v>4</x:v>
      </x:c>
      <x:c r="G56" s="21" t="str">
        <x:v>conversion assembly</x:v>
      </x:c>
      <x:c r="H56" s="21" t="str">
        <x:v>OPEN</x:v>
      </x:c>
      <x:c r="I56" s="21" t="str"/>
      <x:c r="J56" s="21" t="str"/>
    </x:row>
    <x:row r="57">
      <x:c r="A57" s="21" t="str">
        <x:v>QE03-C03-E05</x:v>
      </x:c>
      <x:c r="B57" s="21" t="str">
        <x:v>QE03-C03</x:v>
      </x:c>
      <x:c r="C57" s="21" t="str">
        <x:v>RFP-A2</x:v>
      </x:c>
      <x:c r="D57" s="21" t="str">
        <x:v>PTC-A</x:v>
      </x:c>
      <x:c r="E57" s="21" t="str">
        <x:v>TR-A</x:v>
      </x:c>
      <x:c r="F57" s="21" t="n">
        <x:v>5</x:v>
      </x:c>
      <x:c r="G57" s="21" t="str">
        <x:v>receiver capacity</x:v>
      </x:c>
      <x:c r="H57" s="21" t="str">
        <x:v>OPEN</x:v>
      </x:c>
      <x:c r="I57" s="21" t="str"/>
      <x:c r="J57" s="21" t="str"/>
    </x:row>
    <x:row r="58">
      <x:c r="A58" s="21" t="str">
        <x:v>QE03-C03-E06</x:v>
      </x:c>
      <x:c r="B58" s="21" t="str">
        <x:v>QE03-C03</x:v>
      </x:c>
      <x:c r="C58" s="21" t="str">
        <x:v>RFP-A2</x:v>
      </x:c>
      <x:c r="D58" s="21" t="str">
        <x:v>PTC-A</x:v>
      </x:c>
      <x:c r="E58" s="21" t="str">
        <x:v>TR-A</x:v>
      </x:c>
      <x:c r="F58" s="21" t="n">
        <x:v>6</x:v>
      </x:c>
      <x:c r="G58" s="21" t="str">
        <x:v>package accepted</x:v>
      </x:c>
      <x:c r="H58" s="21" t="str">
        <x:v>OPEN</x:v>
      </x:c>
      <x:c r="I58" s="21" t="str"/>
      <x:c r="J58" s="21" t="str"/>
    </x:row>
    <x:row r="59">
      <x:c r="A59" s="21" t="str">
        <x:v>QE03-C03-E07</x:v>
      </x:c>
      <x:c r="B59" s="21" t="str">
        <x:v>QE03-C03</x:v>
      </x:c>
      <x:c r="C59" s="21" t="str">
        <x:v>RFP-A2</x:v>
      </x:c>
      <x:c r="D59" s="21" t="str">
        <x:v>PTC-A</x:v>
      </x:c>
      <x:c r="E59" s="21" t="str">
        <x:v>TR-A</x:v>
      </x:c>
      <x:c r="F59" s="21" t="n">
        <x:v>7</x:v>
      </x:c>
      <x:c r="G59" s="21" t="str">
        <x:v>package characteristics</x:v>
      </x:c>
      <x:c r="H59" s="21" t="str">
        <x:v>OPEN</x:v>
      </x:c>
      <x:c r="I59" s="21" t="str"/>
      <x:c r="J59" s="21" t="str"/>
    </x:row>
    <x:row r="60">
      <x:c r="A60" s="21" t="str">
        <x:v>QE03-C03-E08</x:v>
      </x:c>
      <x:c r="B60" s="21" t="str">
        <x:v>QE03-C03</x:v>
      </x:c>
      <x:c r="C60" s="21" t="str">
        <x:v>RFP-A2</x:v>
      </x:c>
      <x:c r="D60" s="21" t="str">
        <x:v>PTC-A</x:v>
      </x:c>
      <x:c r="E60" s="21" t="str">
        <x:v>TR-A</x:v>
      </x:c>
      <x:c r="F60" s="21" t="n">
        <x:v>8</x:v>
      </x:c>
      <x:c r="G60" s="21" t="str">
        <x:v>source metrology</x:v>
      </x:c>
      <x:c r="H60" s="21" t="str">
        <x:v>OPEN</x:v>
      </x:c>
      <x:c r="I60" s="21" t="str"/>
      <x:c r="J60" s="21" t="str"/>
    </x:row>
    <x:row r="61">
      <x:c r="A61" s="21" t="str">
        <x:v>QE03-C03-E09</x:v>
      </x:c>
      <x:c r="B61" s="21" t="str">
        <x:v>QE03-C03</x:v>
      </x:c>
      <x:c r="C61" s="21" t="str">
        <x:v>RFP-A2</x:v>
      </x:c>
      <x:c r="D61" s="21" t="str">
        <x:v>PTC-A</x:v>
      </x:c>
      <x:c r="E61" s="21" t="str">
        <x:v>TR-A</x:v>
      </x:c>
      <x:c r="F61" s="21" t="n">
        <x:v>9</x:v>
      </x:c>
      <x:c r="G61" s="21" t="str">
        <x:v>dynamic hold-up</x:v>
      </x:c>
      <x:c r="H61" s="21" t="str">
        <x:v>OPEN</x:v>
      </x:c>
      <x:c r="I61" s="21" t="str"/>
      <x:c r="J61" s="21" t="str"/>
    </x:row>
    <x:row r="62">
      <x:c r="A62" s="21" t="str">
        <x:v>QE03-C03-E10</x:v>
      </x:c>
      <x:c r="B62" s="21" t="str">
        <x:v>QE03-C03</x:v>
      </x:c>
      <x:c r="C62" s="21" t="str">
        <x:v>RFP-A2</x:v>
      </x:c>
      <x:c r="D62" s="21" t="str">
        <x:v>PTC-A</x:v>
      </x:c>
      <x:c r="E62" s="21" t="str">
        <x:v>TR-A</x:v>
      </x:c>
      <x:c r="F62" s="21" t="n">
        <x:v>10</x:v>
      </x:c>
      <x:c r="G62" s="21" t="str">
        <x:v>pressure transient</x:v>
      </x:c>
      <x:c r="H62" s="21" t="str">
        <x:v>OPEN</x:v>
      </x:c>
      <x:c r="I62" s="21" t="str"/>
      <x:c r="J62" s="21" t="str"/>
    </x:row>
    <x:row r="63">
      <x:c r="A63" s="21" t="str">
        <x:v>QE03-C03-E11</x:v>
      </x:c>
      <x:c r="B63" s="21" t="str">
        <x:v>QE03-C03</x:v>
      </x:c>
      <x:c r="C63" s="21" t="str">
        <x:v>RFP-A2</x:v>
      </x:c>
      <x:c r="D63" s="21" t="str">
        <x:v>PTC-A</x:v>
      </x:c>
      <x:c r="E63" s="21" t="str">
        <x:v>TR-A</x:v>
      </x:c>
      <x:c r="F63" s="21" t="n">
        <x:v>11</x:v>
      </x:c>
      <x:c r="G63" s="21" t="str">
        <x:v>safeing elements and paths</x:v>
      </x:c>
      <x:c r="H63" s="21" t="str">
        <x:v>OPEN</x:v>
      </x:c>
      <x:c r="I63" s="21" t="str"/>
      <x:c r="J63" s="21" t="str"/>
    </x:row>
    <x:row r="64">
      <x:c r="A64" s="21" t="str">
        <x:v>QE03-C03-E12</x:v>
      </x:c>
      <x:c r="B64" s="21" t="str">
        <x:v>QE03-C03</x:v>
      </x:c>
      <x:c r="C64" s="21" t="str">
        <x:v>RFP-A2</x:v>
      </x:c>
      <x:c r="D64" s="21" t="str">
        <x:v>PTC-A</x:v>
      </x:c>
      <x:c r="E64" s="21" t="str">
        <x:v>TR-A</x:v>
      </x:c>
      <x:c r="F64" s="21" t="n">
        <x:v>12</x:v>
      </x:c>
      <x:c r="G64" s="21" t="str">
        <x:v>casualty custody</x:v>
      </x:c>
      <x:c r="H64" s="21" t="str">
        <x:v>OPEN</x:v>
      </x:c>
      <x:c r="I64" s="21" t="str"/>
      <x:c r="J64" s="21" t="str"/>
    </x:row>
    <x:row r="65">
      <x:c r="A65" s="21" t="str">
        <x:v>QE03-C03-E13</x:v>
      </x:c>
      <x:c r="B65" s="21" t="str">
        <x:v>QE03-C03</x:v>
      </x:c>
      <x:c r="C65" s="21" t="str">
        <x:v>RFP-A2</x:v>
      </x:c>
      <x:c r="D65" s="21" t="str">
        <x:v>PTC-A</x:v>
      </x:c>
      <x:c r="E65" s="21" t="str">
        <x:v>TR-A</x:v>
      </x:c>
      <x:c r="F65" s="21" t="n">
        <x:v>13</x:v>
      </x:c>
      <x:c r="G65" s="21" t="str">
        <x:v>environmental background</x:v>
      </x:c>
      <x:c r="H65" s="21" t="str">
        <x:v>OPEN</x:v>
      </x:c>
      <x:c r="I65" s="21" t="str"/>
      <x:c r="J65" s="21" t="str"/>
    </x:row>
    <x:row r="66">
      <x:c r="A66" s="21" t="str">
        <x:v>QE03-C03-E14</x:v>
      </x:c>
      <x:c r="B66" s="21" t="str">
        <x:v>QE03-C03</x:v>
      </x:c>
      <x:c r="C66" s="21" t="str">
        <x:v>RFP-A2</x:v>
      </x:c>
      <x:c r="D66" s="21" t="str">
        <x:v>PTC-A</x:v>
      </x:c>
      <x:c r="E66" s="21" t="str">
        <x:v>TR-A</x:v>
      </x:c>
      <x:c r="F66" s="21" t="n">
        <x:v>14</x:v>
      </x:c>
      <x:c r="G66" s="21" t="str">
        <x:v>observed zero method water</x:v>
      </x:c>
      <x:c r="H66" s="21" t="str">
        <x:v>OPEN</x:v>
      </x:c>
      <x:c r="I66" s="21" t="str"/>
      <x:c r="J66" s="21" t="str"/>
    </x:row>
    <x:row r="67">
      <x:c r="A67" s="21" t="str">
        <x:v>QE03-C03-E15</x:v>
      </x:c>
      <x:c r="B67" s="21" t="str">
        <x:v>QE03-C03</x:v>
      </x:c>
      <x:c r="C67" s="21" t="str">
        <x:v>RFP-A2</x:v>
      </x:c>
      <x:c r="D67" s="21" t="str">
        <x:v>PTC-A</x:v>
      </x:c>
      <x:c r="E67" s="21" t="str">
        <x:v>TR-A</x:v>
      </x:c>
      <x:c r="F67" s="21" t="n">
        <x:v>15</x:v>
      </x:c>
      <x:c r="G67" s="21" t="str">
        <x:v>evidence capacity</x:v>
      </x:c>
      <x:c r="H67" s="21" t="str">
        <x:v>OPEN</x:v>
      </x:c>
      <x:c r="I67" s="21" t="str"/>
      <x:c r="J67" s="21" t="str"/>
    </x:row>
    <x:row r="68">
      <x:c r="A68" s="21" t="str">
        <x:v>QE03-C03-E16</x:v>
      </x:c>
      <x:c r="B68" s="21" t="str">
        <x:v>QE03-C03</x:v>
      </x:c>
      <x:c r="C68" s="21" t="str">
        <x:v>RFP-A2</x:v>
      </x:c>
      <x:c r="D68" s="21" t="str">
        <x:v>PTC-A</x:v>
      </x:c>
      <x:c r="E68" s="21" t="str">
        <x:v>TR-A</x:v>
      </x:c>
      <x:c r="F68" s="21" t="n">
        <x:v>16</x:v>
      </x:c>
      <x:c r="G68" s="21" t="str">
        <x:v>causal time</x:v>
      </x:c>
      <x:c r="H68" s="21" t="str">
        <x:v>OPEN</x:v>
      </x:c>
      <x:c r="I68" s="21" t="str"/>
      <x:c r="J68" s="21" t="str"/>
    </x:row>
    <x:row r="69">
      <x:c r="A69" s="21" t="str">
        <x:v>QE03-C03-E17</x:v>
      </x:c>
      <x:c r="B69" s="21" t="str">
        <x:v>QE03-C03</x:v>
      </x:c>
      <x:c r="C69" s="21" t="str">
        <x:v>RFP-A2</x:v>
      </x:c>
      <x:c r="D69" s="21" t="str">
        <x:v>PTC-A</x:v>
      </x:c>
      <x:c r="E69" s="21" t="str">
        <x:v>TR-A</x:v>
      </x:c>
      <x:c r="F69" s="21" t="n">
        <x:v>17</x:v>
      </x:c>
      <x:c r="G69" s="21" t="str">
        <x:v>incoming source-exposed baseline</x:v>
      </x:c>
      <x:c r="H69" s="21" t="str">
        <x:v>OPEN</x:v>
      </x:c>
      <x:c r="I69" s="21" t="str"/>
      <x:c r="J69" s="21" t="str"/>
    </x:row>
    <x:row r="70">
      <x:c r="A70" s="21" t="str">
        <x:v>QE03-C03-E18</x:v>
      </x:c>
      <x:c r="B70" s="21" t="str">
        <x:v>QE03-C03</x:v>
      </x:c>
      <x:c r="C70" s="21" t="str">
        <x:v>RFP-A2</x:v>
      </x:c>
      <x:c r="D70" s="21" t="str">
        <x:v>PTC-A</x:v>
      </x:c>
      <x:c r="E70" s="21" t="str">
        <x:v>TR-A</x:v>
      </x:c>
      <x:c r="F70" s="21" t="n">
        <x:v>18</x:v>
      </x:c>
      <x:c r="G70" s="21" t="str">
        <x:v>64-position crew</x:v>
      </x:c>
      <x:c r="H70" s="21" t="str">
        <x:v>OPEN</x:v>
      </x:c>
      <x:c r="I70" s="21" t="str"/>
      <x:c r="J70" s="21" t="str"/>
    </x:row>
    <x:row r="71">
      <x:c r="A71" s="21" t="str">
        <x:v>QE03-C03-E19</x:v>
      </x:c>
      <x:c r="B71" s="21" t="str">
        <x:v>QE03-C03</x:v>
      </x:c>
      <x:c r="C71" s="21" t="str">
        <x:v>RFP-A2</x:v>
      </x:c>
      <x:c r="D71" s="21" t="str">
        <x:v>PTC-A</x:v>
      </x:c>
      <x:c r="E71" s="21" t="str">
        <x:v>TR-A</x:v>
      </x:c>
      <x:c r="F71" s="21" t="n">
        <x:v>19</x:v>
      </x:c>
      <x:c r="G71" s="21" t="str">
        <x:v>rescue and exclusion</x:v>
      </x:c>
      <x:c r="H71" s="21" t="str">
        <x:v>OPEN</x:v>
      </x:c>
      <x:c r="I71" s="21" t="str"/>
      <x:c r="J71" s="21" t="str"/>
    </x:row>
    <x:row r="72">
      <x:c r="A72" s="21" t="str">
        <x:v>QE03-C03-E20</x:v>
      </x:c>
      <x:c r="B72" s="21" t="str">
        <x:v>QE03-C03</x:v>
      </x:c>
      <x:c r="C72" s="21" t="str">
        <x:v>RFP-A2</x:v>
      </x:c>
      <x:c r="D72" s="21" t="str">
        <x:v>PTC-A</x:v>
      </x:c>
      <x:c r="E72" s="21" t="str">
        <x:v>TR-A</x:v>
      </x:c>
      <x:c r="F72" s="21" t="n">
        <x:v>20</x:v>
      </x:c>
      <x:c r="G72" s="21" t="str">
        <x:v>waste destinations</x:v>
      </x:c>
      <x:c r="H72" s="21" t="str">
        <x:v>OPEN</x:v>
      </x:c>
      <x:c r="I72" s="21" t="str"/>
      <x:c r="J72" s="21" t="str"/>
    </x:row>
    <x:row r="73">
      <x:c r="A73" s="21" t="str">
        <x:v>QE03-C03-E21</x:v>
      </x:c>
      <x:c r="B73" s="21" t="str">
        <x:v>QE03-C03</x:v>
      </x:c>
      <x:c r="C73" s="21" t="str">
        <x:v>RFP-A2</x:v>
      </x:c>
      <x:c r="D73" s="21" t="str">
        <x:v>PTC-A</x:v>
      </x:c>
      <x:c r="E73" s="21" t="str">
        <x:v>TR-A</x:v>
      </x:c>
      <x:c r="F73" s="21" t="n">
        <x:v>21</x:v>
      </x:c>
      <x:c r="G73" s="21" t="str">
        <x:v>outside-origin replay</x:v>
      </x:c>
      <x:c r="H73" s="21" t="str">
        <x:v>OPEN</x:v>
      </x:c>
      <x:c r="I73" s="21" t="str"/>
      <x:c r="J73" s="21" t="str"/>
    </x:row>
    <x:row r="74">
      <x:c r="A74" s="21" t="str">
        <x:v>QE03-C03-E22</x:v>
      </x:c>
      <x:c r="B74" s="21" t="str">
        <x:v>QE03-C03</x:v>
      </x:c>
      <x:c r="C74" s="21" t="str">
        <x:v>RFP-A2</x:v>
      </x:c>
      <x:c r="D74" s="21" t="str">
        <x:v>PTC-A</x:v>
      </x:c>
      <x:c r="E74" s="21" t="str">
        <x:v>TR-A</x:v>
      </x:c>
      <x:c r="F74" s="21" t="n">
        <x:v>22</x:v>
      </x:c>
      <x:c r="G74" s="21" t="str">
        <x:v>neighbor state</x:v>
      </x:c>
      <x:c r="H74" s="21" t="str">
        <x:v>OPEN</x:v>
      </x:c>
      <x:c r="I74" s="21" t="str"/>
      <x:c r="J74" s="21" t="str"/>
    </x:row>
    <x:row r="75">
      <x:c r="A75" s="21" t="str">
        <x:v>QE03-C03-E23</x:v>
      </x:c>
      <x:c r="B75" s="21" t="str">
        <x:v>QE03-C03</x:v>
      </x:c>
      <x:c r="C75" s="21" t="str">
        <x:v>RFP-A2</x:v>
      </x:c>
      <x:c r="D75" s="21" t="str">
        <x:v>PTC-A</x:v>
      </x:c>
      <x:c r="E75" s="21" t="str">
        <x:v>TR-A</x:v>
      </x:c>
      <x:c r="F75" s="21" t="n">
        <x:v>23</x:v>
      </x:c>
      <x:c r="G75" s="21" t="str">
        <x:v>change freeze</x:v>
      </x:c>
      <x:c r="H75" s="21" t="str">
        <x:v>OPEN</x:v>
      </x:c>
      <x:c r="I75" s="21" t="str"/>
      <x:c r="J75" s="21" t="str"/>
    </x:row>
    <x:row r="76">
      <x:c r="A76" s="21" t="str">
        <x:v>QE03-C03-E24</x:v>
      </x:c>
      <x:c r="B76" s="21" t="str">
        <x:v>QE03-C03</x:v>
      </x:c>
      <x:c r="C76" s="21" t="str">
        <x:v>RFP-A2</x:v>
      </x:c>
      <x:c r="D76" s="21" t="str">
        <x:v>PTC-A</x:v>
      </x:c>
      <x:c r="E76" s="21" t="str">
        <x:v>TR-A</x:v>
      </x:c>
      <x:c r="F76" s="21" t="n">
        <x:v>24</x:v>
      </x:c>
      <x:c r="G76" s="21" t="str">
        <x:v>issue concurrence</x:v>
      </x:c>
      <x:c r="H76" s="21" t="str">
        <x:v>OPEN</x:v>
      </x:c>
      <x:c r="I76" s="21" t="str"/>
      <x:c r="J76" s="21" t="str"/>
    </x:row>
    <x:row r="77">
      <x:c r="A77" s="21" t="str">
        <x:v>QE03-C04-E01</x:v>
      </x:c>
      <x:c r="B77" s="21" t="str">
        <x:v>QE03-C04</x:v>
      </x:c>
      <x:c r="C77" s="21" t="str">
        <x:v>RFP-A2</x:v>
      </x:c>
      <x:c r="D77" s="21" t="str">
        <x:v>PTC-A</x:v>
      </x:c>
      <x:c r="E77" s="21" t="str">
        <x:v>TR-B</x:v>
      </x:c>
      <x:c r="F77" s="21" t="n">
        <x:v>1</x:v>
      </x:c>
      <x:c r="G77" s="21" t="str">
        <x:v>RBB-1 source transfer</x:v>
      </x:c>
      <x:c r="H77" s="21" t="str">
        <x:v>OPEN</x:v>
      </x:c>
      <x:c r="I77" s="21" t="str"/>
      <x:c r="J77" s="21" t="str"/>
    </x:row>
    <x:row r="78">
      <x:c r="A78" s="21" t="str">
        <x:v>QE03-C04-E02</x:v>
      </x:c>
      <x:c r="B78" s="21" t="str">
        <x:v>QE03-C04</x:v>
      </x:c>
      <x:c r="C78" s="21" t="str">
        <x:v>RFP-A2</x:v>
      </x:c>
      <x:c r="D78" s="21" t="str">
        <x:v>PTC-A</x:v>
      </x:c>
      <x:c r="E78" s="21" t="str">
        <x:v>TR-B</x:v>
      </x:c>
      <x:c r="F78" s="21" t="n">
        <x:v>2</x:v>
      </x:c>
      <x:c r="G78" s="21" t="str">
        <x:v>article current</x:v>
      </x:c>
      <x:c r="H78" s="21" t="str">
        <x:v>OPEN</x:v>
      </x:c>
      <x:c r="I78" s="21" t="str"/>
      <x:c r="J78" s="21" t="str"/>
    </x:row>
    <x:row r="79">
      <x:c r="A79" s="21" t="str">
        <x:v>QE03-C04-E03</x:v>
      </x:c>
      <x:c r="B79" s="21" t="str">
        <x:v>QE03-C04</x:v>
      </x:c>
      <x:c r="C79" s="21" t="str">
        <x:v>RFP-A2</x:v>
      </x:c>
      <x:c r="D79" s="21" t="str">
        <x:v>PTC-A</x:v>
      </x:c>
      <x:c r="E79" s="21" t="str">
        <x:v>TR-B</x:v>
      </x:c>
      <x:c r="F79" s="21" t="n">
        <x:v>3</x:v>
      </x:c>
      <x:c r="G79" s="21" t="str">
        <x:v>rate trials</x:v>
      </x:c>
      <x:c r="H79" s="21" t="str">
        <x:v>OPEN</x:v>
      </x:c>
      <x:c r="I79" s="21" t="str"/>
      <x:c r="J79" s="21" t="str"/>
    </x:row>
    <x:row r="80">
      <x:c r="A80" s="21" t="str">
        <x:v>QE03-C04-E04</x:v>
      </x:c>
      <x:c r="B80" s="21" t="str">
        <x:v>QE03-C04</x:v>
      </x:c>
      <x:c r="C80" s="21" t="str">
        <x:v>RFP-A2</x:v>
      </x:c>
      <x:c r="D80" s="21" t="str">
        <x:v>PTC-A</x:v>
      </x:c>
      <x:c r="E80" s="21" t="str">
        <x:v>TR-B</x:v>
      </x:c>
      <x:c r="F80" s="21" t="n">
        <x:v>4</x:v>
      </x:c>
      <x:c r="G80" s="21" t="str">
        <x:v>conversion assembly</x:v>
      </x:c>
      <x:c r="H80" s="21" t="str">
        <x:v>OPEN</x:v>
      </x:c>
      <x:c r="I80" s="21" t="str"/>
      <x:c r="J80" s="21" t="str"/>
    </x:row>
    <x:row r="81">
      <x:c r="A81" s="21" t="str">
        <x:v>QE03-C04-E05</x:v>
      </x:c>
      <x:c r="B81" s="21" t="str">
        <x:v>QE03-C04</x:v>
      </x:c>
      <x:c r="C81" s="21" t="str">
        <x:v>RFP-A2</x:v>
      </x:c>
      <x:c r="D81" s="21" t="str">
        <x:v>PTC-A</x:v>
      </x:c>
      <x:c r="E81" s="21" t="str">
        <x:v>TR-B</x:v>
      </x:c>
      <x:c r="F81" s="21" t="n">
        <x:v>5</x:v>
      </x:c>
      <x:c r="G81" s="21" t="str">
        <x:v>receiver capacity</x:v>
      </x:c>
      <x:c r="H81" s="21" t="str">
        <x:v>OPEN</x:v>
      </x:c>
      <x:c r="I81" s="21" t="str"/>
      <x:c r="J81" s="21" t="str"/>
    </x:row>
    <x:row r="82">
      <x:c r="A82" s="21" t="str">
        <x:v>QE03-C04-E06</x:v>
      </x:c>
      <x:c r="B82" s="21" t="str">
        <x:v>QE03-C04</x:v>
      </x:c>
      <x:c r="C82" s="21" t="str">
        <x:v>RFP-A2</x:v>
      </x:c>
      <x:c r="D82" s="21" t="str">
        <x:v>PTC-A</x:v>
      </x:c>
      <x:c r="E82" s="21" t="str">
        <x:v>TR-B</x:v>
      </x:c>
      <x:c r="F82" s="21" t="n">
        <x:v>6</x:v>
      </x:c>
      <x:c r="G82" s="21" t="str">
        <x:v>package accepted</x:v>
      </x:c>
      <x:c r="H82" s="21" t="str">
        <x:v>OPEN</x:v>
      </x:c>
      <x:c r="I82" s="21" t="str"/>
      <x:c r="J82" s="21" t="str"/>
    </x:row>
    <x:row r="83">
      <x:c r="A83" s="21" t="str">
        <x:v>QE03-C04-E07</x:v>
      </x:c>
      <x:c r="B83" s="21" t="str">
        <x:v>QE03-C04</x:v>
      </x:c>
      <x:c r="C83" s="21" t="str">
        <x:v>RFP-A2</x:v>
      </x:c>
      <x:c r="D83" s="21" t="str">
        <x:v>PTC-A</x:v>
      </x:c>
      <x:c r="E83" s="21" t="str">
        <x:v>TR-B</x:v>
      </x:c>
      <x:c r="F83" s="21" t="n">
        <x:v>7</x:v>
      </x:c>
      <x:c r="G83" s="21" t="str">
        <x:v>package characteristics</x:v>
      </x:c>
      <x:c r="H83" s="21" t="str">
        <x:v>OPEN</x:v>
      </x:c>
      <x:c r="I83" s="21" t="str"/>
      <x:c r="J83" s="21" t="str"/>
    </x:row>
    <x:row r="84">
      <x:c r="A84" s="21" t="str">
        <x:v>QE03-C04-E08</x:v>
      </x:c>
      <x:c r="B84" s="21" t="str">
        <x:v>QE03-C04</x:v>
      </x:c>
      <x:c r="C84" s="21" t="str">
        <x:v>RFP-A2</x:v>
      </x:c>
      <x:c r="D84" s="21" t="str">
        <x:v>PTC-A</x:v>
      </x:c>
      <x:c r="E84" s="21" t="str">
        <x:v>TR-B</x:v>
      </x:c>
      <x:c r="F84" s="21" t="n">
        <x:v>8</x:v>
      </x:c>
      <x:c r="G84" s="21" t="str">
        <x:v>source metrology</x:v>
      </x:c>
      <x:c r="H84" s="21" t="str">
        <x:v>OPEN</x:v>
      </x:c>
      <x:c r="I84" s="21" t="str"/>
      <x:c r="J84" s="21" t="str"/>
    </x:row>
    <x:row r="85">
      <x:c r="A85" s="21" t="str">
        <x:v>QE03-C04-E09</x:v>
      </x:c>
      <x:c r="B85" s="21" t="str">
        <x:v>QE03-C04</x:v>
      </x:c>
      <x:c r="C85" s="21" t="str">
        <x:v>RFP-A2</x:v>
      </x:c>
      <x:c r="D85" s="21" t="str">
        <x:v>PTC-A</x:v>
      </x:c>
      <x:c r="E85" s="21" t="str">
        <x:v>TR-B</x:v>
      </x:c>
      <x:c r="F85" s="21" t="n">
        <x:v>9</x:v>
      </x:c>
      <x:c r="G85" s="21" t="str">
        <x:v>dynamic hold-up</x:v>
      </x:c>
      <x:c r="H85" s="21" t="str">
        <x:v>OPEN</x:v>
      </x:c>
      <x:c r="I85" s="21" t="str"/>
      <x:c r="J85" s="21" t="str"/>
    </x:row>
    <x:row r="86">
      <x:c r="A86" s="21" t="str">
        <x:v>QE03-C04-E10</x:v>
      </x:c>
      <x:c r="B86" s="21" t="str">
        <x:v>QE03-C04</x:v>
      </x:c>
      <x:c r="C86" s="21" t="str">
        <x:v>RFP-A2</x:v>
      </x:c>
      <x:c r="D86" s="21" t="str">
        <x:v>PTC-A</x:v>
      </x:c>
      <x:c r="E86" s="21" t="str">
        <x:v>TR-B</x:v>
      </x:c>
      <x:c r="F86" s="21" t="n">
        <x:v>10</x:v>
      </x:c>
      <x:c r="G86" s="21" t="str">
        <x:v>pressure transient</x:v>
      </x:c>
      <x:c r="H86" s="21" t="str">
        <x:v>OPEN</x:v>
      </x:c>
      <x:c r="I86" s="21" t="str"/>
      <x:c r="J86" s="21" t="str"/>
    </x:row>
    <x:row r="87">
      <x:c r="A87" s="21" t="str">
        <x:v>QE03-C04-E11</x:v>
      </x:c>
      <x:c r="B87" s="21" t="str">
        <x:v>QE03-C04</x:v>
      </x:c>
      <x:c r="C87" s="21" t="str">
        <x:v>RFP-A2</x:v>
      </x:c>
      <x:c r="D87" s="21" t="str">
        <x:v>PTC-A</x:v>
      </x:c>
      <x:c r="E87" s="21" t="str">
        <x:v>TR-B</x:v>
      </x:c>
      <x:c r="F87" s="21" t="n">
        <x:v>11</x:v>
      </x:c>
      <x:c r="G87" s="21" t="str">
        <x:v>safeing elements and paths</x:v>
      </x:c>
      <x:c r="H87" s="21" t="str">
        <x:v>OPEN</x:v>
      </x:c>
      <x:c r="I87" s="21" t="str"/>
      <x:c r="J87" s="21" t="str"/>
    </x:row>
    <x:row r="88">
      <x:c r="A88" s="21" t="str">
        <x:v>QE03-C04-E12</x:v>
      </x:c>
      <x:c r="B88" s="21" t="str">
        <x:v>QE03-C04</x:v>
      </x:c>
      <x:c r="C88" s="21" t="str">
        <x:v>RFP-A2</x:v>
      </x:c>
      <x:c r="D88" s="21" t="str">
        <x:v>PTC-A</x:v>
      </x:c>
      <x:c r="E88" s="21" t="str">
        <x:v>TR-B</x:v>
      </x:c>
      <x:c r="F88" s="21" t="n">
        <x:v>12</x:v>
      </x:c>
      <x:c r="G88" s="21" t="str">
        <x:v>casualty custody</x:v>
      </x:c>
      <x:c r="H88" s="21" t="str">
        <x:v>OPEN</x:v>
      </x:c>
      <x:c r="I88" s="21" t="str"/>
      <x:c r="J88" s="21" t="str"/>
    </x:row>
    <x:row r="89">
      <x:c r="A89" s="21" t="str">
        <x:v>QE03-C04-E13</x:v>
      </x:c>
      <x:c r="B89" s="21" t="str">
        <x:v>QE03-C04</x:v>
      </x:c>
      <x:c r="C89" s="21" t="str">
        <x:v>RFP-A2</x:v>
      </x:c>
      <x:c r="D89" s="21" t="str">
        <x:v>PTC-A</x:v>
      </x:c>
      <x:c r="E89" s="21" t="str">
        <x:v>TR-B</x:v>
      </x:c>
      <x:c r="F89" s="21" t="n">
        <x:v>13</x:v>
      </x:c>
      <x:c r="G89" s="21" t="str">
        <x:v>environmental background</x:v>
      </x:c>
      <x:c r="H89" s="21" t="str">
        <x:v>OPEN</x:v>
      </x:c>
      <x:c r="I89" s="21" t="str"/>
      <x:c r="J89" s="21" t="str"/>
    </x:row>
    <x:row r="90">
      <x:c r="A90" s="21" t="str">
        <x:v>QE03-C04-E14</x:v>
      </x:c>
      <x:c r="B90" s="21" t="str">
        <x:v>QE03-C04</x:v>
      </x:c>
      <x:c r="C90" s="21" t="str">
        <x:v>RFP-A2</x:v>
      </x:c>
      <x:c r="D90" s="21" t="str">
        <x:v>PTC-A</x:v>
      </x:c>
      <x:c r="E90" s="21" t="str">
        <x:v>TR-B</x:v>
      </x:c>
      <x:c r="F90" s="21" t="n">
        <x:v>14</x:v>
      </x:c>
      <x:c r="G90" s="21" t="str">
        <x:v>observed zero method water</x:v>
      </x:c>
      <x:c r="H90" s="21" t="str">
        <x:v>OPEN</x:v>
      </x:c>
      <x:c r="I90" s="21" t="str"/>
      <x:c r="J90" s="21" t="str"/>
    </x:row>
    <x:row r="91">
      <x:c r="A91" s="21" t="str">
        <x:v>QE03-C04-E15</x:v>
      </x:c>
      <x:c r="B91" s="21" t="str">
        <x:v>QE03-C04</x:v>
      </x:c>
      <x:c r="C91" s="21" t="str">
        <x:v>RFP-A2</x:v>
      </x:c>
      <x:c r="D91" s="21" t="str">
        <x:v>PTC-A</x:v>
      </x:c>
      <x:c r="E91" s="21" t="str">
        <x:v>TR-B</x:v>
      </x:c>
      <x:c r="F91" s="21" t="n">
        <x:v>15</x:v>
      </x:c>
      <x:c r="G91" s="21" t="str">
        <x:v>evidence capacity</x:v>
      </x:c>
      <x:c r="H91" s="21" t="str">
        <x:v>OPEN</x:v>
      </x:c>
      <x:c r="I91" s="21" t="str"/>
      <x:c r="J91" s="21" t="str"/>
    </x:row>
    <x:row r="92">
      <x:c r="A92" s="21" t="str">
        <x:v>QE03-C04-E16</x:v>
      </x:c>
      <x:c r="B92" s="21" t="str">
        <x:v>QE03-C04</x:v>
      </x:c>
      <x:c r="C92" s="21" t="str">
        <x:v>RFP-A2</x:v>
      </x:c>
      <x:c r="D92" s="21" t="str">
        <x:v>PTC-A</x:v>
      </x:c>
      <x:c r="E92" s="21" t="str">
        <x:v>TR-B</x:v>
      </x:c>
      <x:c r="F92" s="21" t="n">
        <x:v>16</x:v>
      </x:c>
      <x:c r="G92" s="21" t="str">
        <x:v>causal time</x:v>
      </x:c>
      <x:c r="H92" s="21" t="str">
        <x:v>OPEN</x:v>
      </x:c>
      <x:c r="I92" s="21" t="str"/>
      <x:c r="J92" s="21" t="str"/>
    </x:row>
    <x:row r="93">
      <x:c r="A93" s="21" t="str">
        <x:v>QE03-C04-E17</x:v>
      </x:c>
      <x:c r="B93" s="21" t="str">
        <x:v>QE03-C04</x:v>
      </x:c>
      <x:c r="C93" s="21" t="str">
        <x:v>RFP-A2</x:v>
      </x:c>
      <x:c r="D93" s="21" t="str">
        <x:v>PTC-A</x:v>
      </x:c>
      <x:c r="E93" s="21" t="str">
        <x:v>TR-B</x:v>
      </x:c>
      <x:c r="F93" s="21" t="n">
        <x:v>17</x:v>
      </x:c>
      <x:c r="G93" s="21" t="str">
        <x:v>incoming source-exposed baseline</x:v>
      </x:c>
      <x:c r="H93" s="21" t="str">
        <x:v>OPEN</x:v>
      </x:c>
      <x:c r="I93" s="21" t="str"/>
      <x:c r="J93" s="21" t="str"/>
    </x:row>
    <x:row r="94">
      <x:c r="A94" s="21" t="str">
        <x:v>QE03-C04-E18</x:v>
      </x:c>
      <x:c r="B94" s="21" t="str">
        <x:v>QE03-C04</x:v>
      </x:c>
      <x:c r="C94" s="21" t="str">
        <x:v>RFP-A2</x:v>
      </x:c>
      <x:c r="D94" s="21" t="str">
        <x:v>PTC-A</x:v>
      </x:c>
      <x:c r="E94" s="21" t="str">
        <x:v>TR-B</x:v>
      </x:c>
      <x:c r="F94" s="21" t="n">
        <x:v>18</x:v>
      </x:c>
      <x:c r="G94" s="21" t="str">
        <x:v>64-position crew</x:v>
      </x:c>
      <x:c r="H94" s="21" t="str">
        <x:v>OPEN</x:v>
      </x:c>
      <x:c r="I94" s="21" t="str"/>
      <x:c r="J94" s="21" t="str"/>
    </x:row>
    <x:row r="95">
      <x:c r="A95" s="21" t="str">
        <x:v>QE03-C04-E19</x:v>
      </x:c>
      <x:c r="B95" s="21" t="str">
        <x:v>QE03-C04</x:v>
      </x:c>
      <x:c r="C95" s="21" t="str">
        <x:v>RFP-A2</x:v>
      </x:c>
      <x:c r="D95" s="21" t="str">
        <x:v>PTC-A</x:v>
      </x:c>
      <x:c r="E95" s="21" t="str">
        <x:v>TR-B</x:v>
      </x:c>
      <x:c r="F95" s="21" t="n">
        <x:v>19</x:v>
      </x:c>
      <x:c r="G95" s="21" t="str">
        <x:v>rescue and exclusion</x:v>
      </x:c>
      <x:c r="H95" s="21" t="str">
        <x:v>OPEN</x:v>
      </x:c>
      <x:c r="I95" s="21" t="str"/>
      <x:c r="J95" s="21" t="str"/>
    </x:row>
    <x:row r="96">
      <x:c r="A96" s="21" t="str">
        <x:v>QE03-C04-E20</x:v>
      </x:c>
      <x:c r="B96" s="21" t="str">
        <x:v>QE03-C04</x:v>
      </x:c>
      <x:c r="C96" s="21" t="str">
        <x:v>RFP-A2</x:v>
      </x:c>
      <x:c r="D96" s="21" t="str">
        <x:v>PTC-A</x:v>
      </x:c>
      <x:c r="E96" s="21" t="str">
        <x:v>TR-B</x:v>
      </x:c>
      <x:c r="F96" s="21" t="n">
        <x:v>20</x:v>
      </x:c>
      <x:c r="G96" s="21" t="str">
        <x:v>waste destinations</x:v>
      </x:c>
      <x:c r="H96" s="21" t="str">
        <x:v>OPEN</x:v>
      </x:c>
      <x:c r="I96" s="21" t="str"/>
      <x:c r="J96" s="21" t="str"/>
    </x:row>
    <x:row r="97">
      <x:c r="A97" s="21" t="str">
        <x:v>QE03-C04-E21</x:v>
      </x:c>
      <x:c r="B97" s="21" t="str">
        <x:v>QE03-C04</x:v>
      </x:c>
      <x:c r="C97" s="21" t="str">
        <x:v>RFP-A2</x:v>
      </x:c>
      <x:c r="D97" s="21" t="str">
        <x:v>PTC-A</x:v>
      </x:c>
      <x:c r="E97" s="21" t="str">
        <x:v>TR-B</x:v>
      </x:c>
      <x:c r="F97" s="21" t="n">
        <x:v>21</x:v>
      </x:c>
      <x:c r="G97" s="21" t="str">
        <x:v>outside-origin replay</x:v>
      </x:c>
      <x:c r="H97" s="21" t="str">
        <x:v>OPEN</x:v>
      </x:c>
      <x:c r="I97" s="21" t="str"/>
      <x:c r="J97" s="21" t="str"/>
    </x:row>
    <x:row r="98">
      <x:c r="A98" s="21" t="str">
        <x:v>QE03-C04-E22</x:v>
      </x:c>
      <x:c r="B98" s="21" t="str">
        <x:v>QE03-C04</x:v>
      </x:c>
      <x:c r="C98" s="21" t="str">
        <x:v>RFP-A2</x:v>
      </x:c>
      <x:c r="D98" s="21" t="str">
        <x:v>PTC-A</x:v>
      </x:c>
      <x:c r="E98" s="21" t="str">
        <x:v>TR-B</x:v>
      </x:c>
      <x:c r="F98" s="21" t="n">
        <x:v>22</x:v>
      </x:c>
      <x:c r="G98" s="21" t="str">
        <x:v>neighbor state</x:v>
      </x:c>
      <x:c r="H98" s="21" t="str">
        <x:v>OPEN</x:v>
      </x:c>
      <x:c r="I98" s="21" t="str"/>
      <x:c r="J98" s="21" t="str"/>
    </x:row>
    <x:row r="99">
      <x:c r="A99" s="21" t="str">
        <x:v>QE03-C04-E23</x:v>
      </x:c>
      <x:c r="B99" s="21" t="str">
        <x:v>QE03-C04</x:v>
      </x:c>
      <x:c r="C99" s="21" t="str">
        <x:v>RFP-A2</x:v>
      </x:c>
      <x:c r="D99" s="21" t="str">
        <x:v>PTC-A</x:v>
      </x:c>
      <x:c r="E99" s="21" t="str">
        <x:v>TR-B</x:v>
      </x:c>
      <x:c r="F99" s="21" t="n">
        <x:v>23</x:v>
      </x:c>
      <x:c r="G99" s="21" t="str">
        <x:v>change freeze</x:v>
      </x:c>
      <x:c r="H99" s="21" t="str">
        <x:v>OPEN</x:v>
      </x:c>
      <x:c r="I99" s="21" t="str"/>
      <x:c r="J99" s="21" t="str"/>
    </x:row>
    <x:row r="100">
      <x:c r="A100" s="21" t="str">
        <x:v>QE03-C04-E24</x:v>
      </x:c>
      <x:c r="B100" s="21" t="str">
        <x:v>QE03-C04</x:v>
      </x:c>
      <x:c r="C100" s="21" t="str">
        <x:v>RFP-A2</x:v>
      </x:c>
      <x:c r="D100" s="21" t="str">
        <x:v>PTC-A</x:v>
      </x:c>
      <x:c r="E100" s="21" t="str">
        <x:v>TR-B</x:v>
      </x:c>
      <x:c r="F100" s="21" t="n">
        <x:v>24</x:v>
      </x:c>
      <x:c r="G100" s="21" t="str">
        <x:v>issue concurrence</x:v>
      </x:c>
      <x:c r="H100" s="21" t="str">
        <x:v>OPEN</x:v>
      </x:c>
      <x:c r="I100" s="21" t="str"/>
      <x:c r="J100" s="21" t="str"/>
    </x:row>
    <x:row r="101">
      <x:c r="A101" s="21" t="str">
        <x:v>QE03-C05-E01</x:v>
      </x:c>
      <x:c r="B101" s="21" t="str">
        <x:v>QE03-C05</x:v>
      </x:c>
      <x:c r="C101" s="21" t="str">
        <x:v>RFP-B1</x:v>
      </x:c>
      <x:c r="D101" s="21" t="str">
        <x:v>PTC-B</x:v>
      </x:c>
      <x:c r="E101" s="21" t="str">
        <x:v>TR-A</x:v>
      </x:c>
      <x:c r="F101" s="21" t="n">
        <x:v>1</x:v>
      </x:c>
      <x:c r="G101" s="21" t="str">
        <x:v>RBB-1 source transfer</x:v>
      </x:c>
      <x:c r="H101" s="21" t="str">
        <x:v>OPEN</x:v>
      </x:c>
      <x:c r="I101" s="21" t="str"/>
      <x:c r="J101" s="21" t="str"/>
    </x:row>
    <x:row r="102">
      <x:c r="A102" s="21" t="str">
        <x:v>QE03-C05-E02</x:v>
      </x:c>
      <x:c r="B102" s="21" t="str">
        <x:v>QE03-C05</x:v>
      </x:c>
      <x:c r="C102" s="21" t="str">
        <x:v>RFP-B1</x:v>
      </x:c>
      <x:c r="D102" s="21" t="str">
        <x:v>PTC-B</x:v>
      </x:c>
      <x:c r="E102" s="21" t="str">
        <x:v>TR-A</x:v>
      </x:c>
      <x:c r="F102" s="21" t="n">
        <x:v>2</x:v>
      </x:c>
      <x:c r="G102" s="21" t="str">
        <x:v>article current</x:v>
      </x:c>
      <x:c r="H102" s="21" t="str">
        <x:v>OPEN</x:v>
      </x:c>
      <x:c r="I102" s="21" t="str"/>
      <x:c r="J102" s="21" t="str"/>
    </x:row>
    <x:row r="103">
      <x:c r="A103" s="21" t="str">
        <x:v>QE03-C05-E03</x:v>
      </x:c>
      <x:c r="B103" s="21" t="str">
        <x:v>QE03-C05</x:v>
      </x:c>
      <x:c r="C103" s="21" t="str">
        <x:v>RFP-B1</x:v>
      </x:c>
      <x:c r="D103" s="21" t="str">
        <x:v>PTC-B</x:v>
      </x:c>
      <x:c r="E103" s="21" t="str">
        <x:v>TR-A</x:v>
      </x:c>
      <x:c r="F103" s="21" t="n">
        <x:v>3</x:v>
      </x:c>
      <x:c r="G103" s="21" t="str">
        <x:v>rate trials</x:v>
      </x:c>
      <x:c r="H103" s="21" t="str">
        <x:v>OPEN</x:v>
      </x:c>
      <x:c r="I103" s="21" t="str"/>
      <x:c r="J103" s="21" t="str"/>
    </x:row>
    <x:row r="104">
      <x:c r="A104" s="21" t="str">
        <x:v>QE03-C05-E04</x:v>
      </x:c>
      <x:c r="B104" s="21" t="str">
        <x:v>QE03-C05</x:v>
      </x:c>
      <x:c r="C104" s="21" t="str">
        <x:v>RFP-B1</x:v>
      </x:c>
      <x:c r="D104" s="21" t="str">
        <x:v>PTC-B</x:v>
      </x:c>
      <x:c r="E104" s="21" t="str">
        <x:v>TR-A</x:v>
      </x:c>
      <x:c r="F104" s="21" t="n">
        <x:v>4</x:v>
      </x:c>
      <x:c r="G104" s="21" t="str">
        <x:v>conversion assembly</x:v>
      </x:c>
      <x:c r="H104" s="21" t="str">
        <x:v>OPEN</x:v>
      </x:c>
      <x:c r="I104" s="21" t="str"/>
      <x:c r="J104" s="21" t="str"/>
    </x:row>
    <x:row r="105">
      <x:c r="A105" s="21" t="str">
        <x:v>QE03-C05-E05</x:v>
      </x:c>
      <x:c r="B105" s="21" t="str">
        <x:v>QE03-C05</x:v>
      </x:c>
      <x:c r="C105" s="21" t="str">
        <x:v>RFP-B1</x:v>
      </x:c>
      <x:c r="D105" s="21" t="str">
        <x:v>PTC-B</x:v>
      </x:c>
      <x:c r="E105" s="21" t="str">
        <x:v>TR-A</x:v>
      </x:c>
      <x:c r="F105" s="21" t="n">
        <x:v>5</x:v>
      </x:c>
      <x:c r="G105" s="21" t="str">
        <x:v>receiver capacity</x:v>
      </x:c>
      <x:c r="H105" s="21" t="str">
        <x:v>OPEN</x:v>
      </x:c>
      <x:c r="I105" s="21" t="str"/>
      <x:c r="J105" s="21" t="str"/>
    </x:row>
    <x:row r="106">
      <x:c r="A106" s="21" t="str">
        <x:v>QE03-C05-E06</x:v>
      </x:c>
      <x:c r="B106" s="21" t="str">
        <x:v>QE03-C05</x:v>
      </x:c>
      <x:c r="C106" s="21" t="str">
        <x:v>RFP-B1</x:v>
      </x:c>
      <x:c r="D106" s="21" t="str">
        <x:v>PTC-B</x:v>
      </x:c>
      <x:c r="E106" s="21" t="str">
        <x:v>TR-A</x:v>
      </x:c>
      <x:c r="F106" s="21" t="n">
        <x:v>6</x:v>
      </x:c>
      <x:c r="G106" s="21" t="str">
        <x:v>package accepted</x:v>
      </x:c>
      <x:c r="H106" s="21" t="str">
        <x:v>OPEN</x:v>
      </x:c>
      <x:c r="I106" s="21" t="str"/>
      <x:c r="J106" s="21" t="str"/>
    </x:row>
    <x:row r="107">
      <x:c r="A107" s="21" t="str">
        <x:v>QE03-C05-E07</x:v>
      </x:c>
      <x:c r="B107" s="21" t="str">
        <x:v>QE03-C05</x:v>
      </x:c>
      <x:c r="C107" s="21" t="str">
        <x:v>RFP-B1</x:v>
      </x:c>
      <x:c r="D107" s="21" t="str">
        <x:v>PTC-B</x:v>
      </x:c>
      <x:c r="E107" s="21" t="str">
        <x:v>TR-A</x:v>
      </x:c>
      <x:c r="F107" s="21" t="n">
        <x:v>7</x:v>
      </x:c>
      <x:c r="G107" s="21" t="str">
        <x:v>package characteristics</x:v>
      </x:c>
      <x:c r="H107" s="21" t="str">
        <x:v>OPEN</x:v>
      </x:c>
      <x:c r="I107" s="21" t="str"/>
      <x:c r="J107" s="21" t="str"/>
    </x:row>
    <x:row r="108">
      <x:c r="A108" s="21" t="str">
        <x:v>QE03-C05-E08</x:v>
      </x:c>
      <x:c r="B108" s="21" t="str">
        <x:v>QE03-C05</x:v>
      </x:c>
      <x:c r="C108" s="21" t="str">
        <x:v>RFP-B1</x:v>
      </x:c>
      <x:c r="D108" s="21" t="str">
        <x:v>PTC-B</x:v>
      </x:c>
      <x:c r="E108" s="21" t="str">
        <x:v>TR-A</x:v>
      </x:c>
      <x:c r="F108" s="21" t="n">
        <x:v>8</x:v>
      </x:c>
      <x:c r="G108" s="21" t="str">
        <x:v>source metrology</x:v>
      </x:c>
      <x:c r="H108" s="21" t="str">
        <x:v>OPEN</x:v>
      </x:c>
      <x:c r="I108" s="21" t="str"/>
      <x:c r="J108" s="21" t="str"/>
    </x:row>
    <x:row r="109">
      <x:c r="A109" s="21" t="str">
        <x:v>QE03-C05-E09</x:v>
      </x:c>
      <x:c r="B109" s="21" t="str">
        <x:v>QE03-C05</x:v>
      </x:c>
      <x:c r="C109" s="21" t="str">
        <x:v>RFP-B1</x:v>
      </x:c>
      <x:c r="D109" s="21" t="str">
        <x:v>PTC-B</x:v>
      </x:c>
      <x:c r="E109" s="21" t="str">
        <x:v>TR-A</x:v>
      </x:c>
      <x:c r="F109" s="21" t="n">
        <x:v>9</x:v>
      </x:c>
      <x:c r="G109" s="21" t="str">
        <x:v>dynamic hold-up</x:v>
      </x:c>
      <x:c r="H109" s="21" t="str">
        <x:v>OPEN</x:v>
      </x:c>
      <x:c r="I109" s="21" t="str"/>
      <x:c r="J109" s="21" t="str"/>
    </x:row>
    <x:row r="110">
      <x:c r="A110" s="21" t="str">
        <x:v>QE03-C05-E10</x:v>
      </x:c>
      <x:c r="B110" s="21" t="str">
        <x:v>QE03-C05</x:v>
      </x:c>
      <x:c r="C110" s="21" t="str">
        <x:v>RFP-B1</x:v>
      </x:c>
      <x:c r="D110" s="21" t="str">
        <x:v>PTC-B</x:v>
      </x:c>
      <x:c r="E110" s="21" t="str">
        <x:v>TR-A</x:v>
      </x:c>
      <x:c r="F110" s="21" t="n">
        <x:v>10</x:v>
      </x:c>
      <x:c r="G110" s="21" t="str">
        <x:v>pressure transient</x:v>
      </x:c>
      <x:c r="H110" s="21" t="str">
        <x:v>OPEN</x:v>
      </x:c>
      <x:c r="I110" s="21" t="str"/>
      <x:c r="J110" s="21" t="str"/>
    </x:row>
    <x:row r="111">
      <x:c r="A111" s="21" t="str">
        <x:v>QE03-C05-E11</x:v>
      </x:c>
      <x:c r="B111" s="21" t="str">
        <x:v>QE03-C05</x:v>
      </x:c>
      <x:c r="C111" s="21" t="str">
        <x:v>RFP-B1</x:v>
      </x:c>
      <x:c r="D111" s="21" t="str">
        <x:v>PTC-B</x:v>
      </x:c>
      <x:c r="E111" s="21" t="str">
        <x:v>TR-A</x:v>
      </x:c>
      <x:c r="F111" s="21" t="n">
        <x:v>11</x:v>
      </x:c>
      <x:c r="G111" s="21" t="str">
        <x:v>safeing elements and paths</x:v>
      </x:c>
      <x:c r="H111" s="21" t="str">
        <x:v>OPEN</x:v>
      </x:c>
      <x:c r="I111" s="21" t="str"/>
      <x:c r="J111" s="21" t="str"/>
    </x:row>
    <x:row r="112">
      <x:c r="A112" s="21" t="str">
        <x:v>QE03-C05-E12</x:v>
      </x:c>
      <x:c r="B112" s="21" t="str">
        <x:v>QE03-C05</x:v>
      </x:c>
      <x:c r="C112" s="21" t="str">
        <x:v>RFP-B1</x:v>
      </x:c>
      <x:c r="D112" s="21" t="str">
        <x:v>PTC-B</x:v>
      </x:c>
      <x:c r="E112" s="21" t="str">
        <x:v>TR-A</x:v>
      </x:c>
      <x:c r="F112" s="21" t="n">
        <x:v>12</x:v>
      </x:c>
      <x:c r="G112" s="21" t="str">
        <x:v>casualty custody</x:v>
      </x:c>
      <x:c r="H112" s="21" t="str">
        <x:v>OPEN</x:v>
      </x:c>
      <x:c r="I112" s="21" t="str"/>
      <x:c r="J112" s="21" t="str"/>
    </x:row>
    <x:row r="113">
      <x:c r="A113" s="21" t="str">
        <x:v>QE03-C05-E13</x:v>
      </x:c>
      <x:c r="B113" s="21" t="str">
        <x:v>QE03-C05</x:v>
      </x:c>
      <x:c r="C113" s="21" t="str">
        <x:v>RFP-B1</x:v>
      </x:c>
      <x:c r="D113" s="21" t="str">
        <x:v>PTC-B</x:v>
      </x:c>
      <x:c r="E113" s="21" t="str">
        <x:v>TR-A</x:v>
      </x:c>
      <x:c r="F113" s="21" t="n">
        <x:v>13</x:v>
      </x:c>
      <x:c r="G113" s="21" t="str">
        <x:v>environmental background</x:v>
      </x:c>
      <x:c r="H113" s="21" t="str">
        <x:v>OPEN</x:v>
      </x:c>
      <x:c r="I113" s="21" t="str"/>
      <x:c r="J113" s="21" t="str"/>
    </x:row>
    <x:row r="114">
      <x:c r="A114" s="21" t="str">
        <x:v>QE03-C05-E14</x:v>
      </x:c>
      <x:c r="B114" s="21" t="str">
        <x:v>QE03-C05</x:v>
      </x:c>
      <x:c r="C114" s="21" t="str">
        <x:v>RFP-B1</x:v>
      </x:c>
      <x:c r="D114" s="21" t="str">
        <x:v>PTC-B</x:v>
      </x:c>
      <x:c r="E114" s="21" t="str">
        <x:v>TR-A</x:v>
      </x:c>
      <x:c r="F114" s="21" t="n">
        <x:v>14</x:v>
      </x:c>
      <x:c r="G114" s="21" t="str">
        <x:v>observed zero method water</x:v>
      </x:c>
      <x:c r="H114" s="21" t="str">
        <x:v>OPEN</x:v>
      </x:c>
      <x:c r="I114" s="21" t="str"/>
      <x:c r="J114" s="21" t="str"/>
    </x:row>
    <x:row r="115">
      <x:c r="A115" s="21" t="str">
        <x:v>QE03-C05-E15</x:v>
      </x:c>
      <x:c r="B115" s="21" t="str">
        <x:v>QE03-C05</x:v>
      </x:c>
      <x:c r="C115" s="21" t="str">
        <x:v>RFP-B1</x:v>
      </x:c>
      <x:c r="D115" s="21" t="str">
        <x:v>PTC-B</x:v>
      </x:c>
      <x:c r="E115" s="21" t="str">
        <x:v>TR-A</x:v>
      </x:c>
      <x:c r="F115" s="21" t="n">
        <x:v>15</x:v>
      </x:c>
      <x:c r="G115" s="21" t="str">
        <x:v>evidence capacity</x:v>
      </x:c>
      <x:c r="H115" s="21" t="str">
        <x:v>OPEN</x:v>
      </x:c>
      <x:c r="I115" s="21" t="str"/>
      <x:c r="J115" s="21" t="str"/>
    </x:row>
    <x:row r="116">
      <x:c r="A116" s="21" t="str">
        <x:v>QE03-C05-E16</x:v>
      </x:c>
      <x:c r="B116" s="21" t="str">
        <x:v>QE03-C05</x:v>
      </x:c>
      <x:c r="C116" s="21" t="str">
        <x:v>RFP-B1</x:v>
      </x:c>
      <x:c r="D116" s="21" t="str">
        <x:v>PTC-B</x:v>
      </x:c>
      <x:c r="E116" s="21" t="str">
        <x:v>TR-A</x:v>
      </x:c>
      <x:c r="F116" s="21" t="n">
        <x:v>16</x:v>
      </x:c>
      <x:c r="G116" s="21" t="str">
        <x:v>causal time</x:v>
      </x:c>
      <x:c r="H116" s="21" t="str">
        <x:v>OPEN</x:v>
      </x:c>
      <x:c r="I116" s="21" t="str"/>
      <x:c r="J116" s="21" t="str"/>
    </x:row>
    <x:row r="117">
      <x:c r="A117" s="21" t="str">
        <x:v>QE03-C05-E17</x:v>
      </x:c>
      <x:c r="B117" s="21" t="str">
        <x:v>QE03-C05</x:v>
      </x:c>
      <x:c r="C117" s="21" t="str">
        <x:v>RFP-B1</x:v>
      </x:c>
      <x:c r="D117" s="21" t="str">
        <x:v>PTC-B</x:v>
      </x:c>
      <x:c r="E117" s="21" t="str">
        <x:v>TR-A</x:v>
      </x:c>
      <x:c r="F117" s="21" t="n">
        <x:v>17</x:v>
      </x:c>
      <x:c r="G117" s="21" t="str">
        <x:v>incoming source-exposed baseline</x:v>
      </x:c>
      <x:c r="H117" s="21" t="str">
        <x:v>OPEN</x:v>
      </x:c>
      <x:c r="I117" s="21" t="str"/>
      <x:c r="J117" s="21" t="str"/>
    </x:row>
    <x:row r="118">
      <x:c r="A118" s="21" t="str">
        <x:v>QE03-C05-E18</x:v>
      </x:c>
      <x:c r="B118" s="21" t="str">
        <x:v>QE03-C05</x:v>
      </x:c>
      <x:c r="C118" s="21" t="str">
        <x:v>RFP-B1</x:v>
      </x:c>
      <x:c r="D118" s="21" t="str">
        <x:v>PTC-B</x:v>
      </x:c>
      <x:c r="E118" s="21" t="str">
        <x:v>TR-A</x:v>
      </x:c>
      <x:c r="F118" s="21" t="n">
        <x:v>18</x:v>
      </x:c>
      <x:c r="G118" s="21" t="str">
        <x:v>64-position crew</x:v>
      </x:c>
      <x:c r="H118" s="21" t="str">
        <x:v>OPEN</x:v>
      </x:c>
      <x:c r="I118" s="21" t="str"/>
      <x:c r="J118" s="21" t="str"/>
    </x:row>
    <x:row r="119">
      <x:c r="A119" s="21" t="str">
        <x:v>QE03-C05-E19</x:v>
      </x:c>
      <x:c r="B119" s="21" t="str">
        <x:v>QE03-C05</x:v>
      </x:c>
      <x:c r="C119" s="21" t="str">
        <x:v>RFP-B1</x:v>
      </x:c>
      <x:c r="D119" s="21" t="str">
        <x:v>PTC-B</x:v>
      </x:c>
      <x:c r="E119" s="21" t="str">
        <x:v>TR-A</x:v>
      </x:c>
      <x:c r="F119" s="21" t="n">
        <x:v>19</x:v>
      </x:c>
      <x:c r="G119" s="21" t="str">
        <x:v>rescue and exclusion</x:v>
      </x:c>
      <x:c r="H119" s="21" t="str">
        <x:v>OPEN</x:v>
      </x:c>
      <x:c r="I119" s="21" t="str"/>
      <x:c r="J119" s="21" t="str"/>
    </x:row>
    <x:row r="120">
      <x:c r="A120" s="21" t="str">
        <x:v>QE03-C05-E20</x:v>
      </x:c>
      <x:c r="B120" s="21" t="str">
        <x:v>QE03-C05</x:v>
      </x:c>
      <x:c r="C120" s="21" t="str">
        <x:v>RFP-B1</x:v>
      </x:c>
      <x:c r="D120" s="21" t="str">
        <x:v>PTC-B</x:v>
      </x:c>
      <x:c r="E120" s="21" t="str">
        <x:v>TR-A</x:v>
      </x:c>
      <x:c r="F120" s="21" t="n">
        <x:v>20</x:v>
      </x:c>
      <x:c r="G120" s="21" t="str">
        <x:v>waste destinations</x:v>
      </x:c>
      <x:c r="H120" s="21" t="str">
        <x:v>OPEN</x:v>
      </x:c>
      <x:c r="I120" s="21" t="str"/>
      <x:c r="J120" s="21" t="str"/>
    </x:row>
    <x:row r="121">
      <x:c r="A121" s="21" t="str">
        <x:v>QE03-C05-E21</x:v>
      </x:c>
      <x:c r="B121" s="21" t="str">
        <x:v>QE03-C05</x:v>
      </x:c>
      <x:c r="C121" s="21" t="str">
        <x:v>RFP-B1</x:v>
      </x:c>
      <x:c r="D121" s="21" t="str">
        <x:v>PTC-B</x:v>
      </x:c>
      <x:c r="E121" s="21" t="str">
        <x:v>TR-A</x:v>
      </x:c>
      <x:c r="F121" s="21" t="n">
        <x:v>21</x:v>
      </x:c>
      <x:c r="G121" s="21" t="str">
        <x:v>outside-origin replay</x:v>
      </x:c>
      <x:c r="H121" s="21" t="str">
        <x:v>OPEN</x:v>
      </x:c>
      <x:c r="I121" s="21" t="str"/>
      <x:c r="J121" s="21" t="str"/>
    </x:row>
    <x:row r="122">
      <x:c r="A122" s="21" t="str">
        <x:v>QE03-C05-E22</x:v>
      </x:c>
      <x:c r="B122" s="21" t="str">
        <x:v>QE03-C05</x:v>
      </x:c>
      <x:c r="C122" s="21" t="str">
        <x:v>RFP-B1</x:v>
      </x:c>
      <x:c r="D122" s="21" t="str">
        <x:v>PTC-B</x:v>
      </x:c>
      <x:c r="E122" s="21" t="str">
        <x:v>TR-A</x:v>
      </x:c>
      <x:c r="F122" s="21" t="n">
        <x:v>22</x:v>
      </x:c>
      <x:c r="G122" s="21" t="str">
        <x:v>neighbor state</x:v>
      </x:c>
      <x:c r="H122" s="21" t="str">
        <x:v>OPEN</x:v>
      </x:c>
      <x:c r="I122" s="21" t="str"/>
      <x:c r="J122" s="21" t="str"/>
    </x:row>
    <x:row r="123">
      <x:c r="A123" s="21" t="str">
        <x:v>QE03-C05-E23</x:v>
      </x:c>
      <x:c r="B123" s="21" t="str">
        <x:v>QE03-C05</x:v>
      </x:c>
      <x:c r="C123" s="21" t="str">
        <x:v>RFP-B1</x:v>
      </x:c>
      <x:c r="D123" s="21" t="str">
        <x:v>PTC-B</x:v>
      </x:c>
      <x:c r="E123" s="21" t="str">
        <x:v>TR-A</x:v>
      </x:c>
      <x:c r="F123" s="21" t="n">
        <x:v>23</x:v>
      </x:c>
      <x:c r="G123" s="21" t="str">
        <x:v>change freeze</x:v>
      </x:c>
      <x:c r="H123" s="21" t="str">
        <x:v>OPEN</x:v>
      </x:c>
      <x:c r="I123" s="21" t="str"/>
      <x:c r="J123" s="21" t="str"/>
    </x:row>
    <x:row r="124">
      <x:c r="A124" s="21" t="str">
        <x:v>QE03-C05-E24</x:v>
      </x:c>
      <x:c r="B124" s="21" t="str">
        <x:v>QE03-C05</x:v>
      </x:c>
      <x:c r="C124" s="21" t="str">
        <x:v>RFP-B1</x:v>
      </x:c>
      <x:c r="D124" s="21" t="str">
        <x:v>PTC-B</x:v>
      </x:c>
      <x:c r="E124" s="21" t="str">
        <x:v>TR-A</x:v>
      </x:c>
      <x:c r="F124" s="21" t="n">
        <x:v>24</x:v>
      </x:c>
      <x:c r="G124" s="21" t="str">
        <x:v>issue concurrence</x:v>
      </x:c>
      <x:c r="H124" s="21" t="str">
        <x:v>OPEN</x:v>
      </x:c>
      <x:c r="I124" s="21" t="str"/>
      <x:c r="J124" s="21" t="str"/>
    </x:row>
    <x:row r="125">
      <x:c r="A125" s="21" t="str">
        <x:v>QE03-C06-E01</x:v>
      </x:c>
      <x:c r="B125" s="21" t="str">
        <x:v>QE03-C06</x:v>
      </x:c>
      <x:c r="C125" s="21" t="str">
        <x:v>RFP-B1</x:v>
      </x:c>
      <x:c r="D125" s="21" t="str">
        <x:v>PTC-B</x:v>
      </x:c>
      <x:c r="E125" s="21" t="str">
        <x:v>TR-B</x:v>
      </x:c>
      <x:c r="F125" s="21" t="n">
        <x:v>1</x:v>
      </x:c>
      <x:c r="G125" s="21" t="str">
        <x:v>RBB-1 source transfer</x:v>
      </x:c>
      <x:c r="H125" s="21" t="str">
        <x:v>OPEN</x:v>
      </x:c>
      <x:c r="I125" s="21" t="str"/>
      <x:c r="J125" s="21" t="str"/>
    </x:row>
    <x:row r="126">
      <x:c r="A126" s="21" t="str">
        <x:v>QE03-C06-E02</x:v>
      </x:c>
      <x:c r="B126" s="21" t="str">
        <x:v>QE03-C06</x:v>
      </x:c>
      <x:c r="C126" s="21" t="str">
        <x:v>RFP-B1</x:v>
      </x:c>
      <x:c r="D126" s="21" t="str">
        <x:v>PTC-B</x:v>
      </x:c>
      <x:c r="E126" s="21" t="str">
        <x:v>TR-B</x:v>
      </x:c>
      <x:c r="F126" s="21" t="n">
        <x:v>2</x:v>
      </x:c>
      <x:c r="G126" s="21" t="str">
        <x:v>article current</x:v>
      </x:c>
      <x:c r="H126" s="21" t="str">
        <x:v>OPEN</x:v>
      </x:c>
      <x:c r="I126" s="21" t="str"/>
      <x:c r="J126" s="21" t="str"/>
    </x:row>
    <x:row r="127">
      <x:c r="A127" s="21" t="str">
        <x:v>QE03-C06-E03</x:v>
      </x:c>
      <x:c r="B127" s="21" t="str">
        <x:v>QE03-C06</x:v>
      </x:c>
      <x:c r="C127" s="21" t="str">
        <x:v>RFP-B1</x:v>
      </x:c>
      <x:c r="D127" s="21" t="str">
        <x:v>PTC-B</x:v>
      </x:c>
      <x:c r="E127" s="21" t="str">
        <x:v>TR-B</x:v>
      </x:c>
      <x:c r="F127" s="21" t="n">
        <x:v>3</x:v>
      </x:c>
      <x:c r="G127" s="21" t="str">
        <x:v>rate trials</x:v>
      </x:c>
      <x:c r="H127" s="21" t="str">
        <x:v>OPEN</x:v>
      </x:c>
      <x:c r="I127" s="21" t="str"/>
      <x:c r="J127" s="21" t="str"/>
    </x:row>
    <x:row r="128">
      <x:c r="A128" s="21" t="str">
        <x:v>QE03-C06-E04</x:v>
      </x:c>
      <x:c r="B128" s="21" t="str">
        <x:v>QE03-C06</x:v>
      </x:c>
      <x:c r="C128" s="21" t="str">
        <x:v>RFP-B1</x:v>
      </x:c>
      <x:c r="D128" s="21" t="str">
        <x:v>PTC-B</x:v>
      </x:c>
      <x:c r="E128" s="21" t="str">
        <x:v>TR-B</x:v>
      </x:c>
      <x:c r="F128" s="21" t="n">
        <x:v>4</x:v>
      </x:c>
      <x:c r="G128" s="21" t="str">
        <x:v>conversion assembly</x:v>
      </x:c>
      <x:c r="H128" s="21" t="str">
        <x:v>OPEN</x:v>
      </x:c>
      <x:c r="I128" s="21" t="str"/>
      <x:c r="J128" s="21" t="str"/>
    </x:row>
    <x:row r="129">
      <x:c r="A129" s="21" t="str">
        <x:v>QE03-C06-E05</x:v>
      </x:c>
      <x:c r="B129" s="21" t="str">
        <x:v>QE03-C06</x:v>
      </x:c>
      <x:c r="C129" s="21" t="str">
        <x:v>RFP-B1</x:v>
      </x:c>
      <x:c r="D129" s="21" t="str">
        <x:v>PTC-B</x:v>
      </x:c>
      <x:c r="E129" s="21" t="str">
        <x:v>TR-B</x:v>
      </x:c>
      <x:c r="F129" s="21" t="n">
        <x:v>5</x:v>
      </x:c>
      <x:c r="G129" s="21" t="str">
        <x:v>receiver capacity</x:v>
      </x:c>
      <x:c r="H129" s="21" t="str">
        <x:v>OPEN</x:v>
      </x:c>
      <x:c r="I129" s="21" t="str"/>
      <x:c r="J129" s="21" t="str"/>
    </x:row>
    <x:row r="130">
      <x:c r="A130" s="21" t="str">
        <x:v>QE03-C06-E06</x:v>
      </x:c>
      <x:c r="B130" s="21" t="str">
        <x:v>QE03-C06</x:v>
      </x:c>
      <x:c r="C130" s="21" t="str">
        <x:v>RFP-B1</x:v>
      </x:c>
      <x:c r="D130" s="21" t="str">
        <x:v>PTC-B</x:v>
      </x:c>
      <x:c r="E130" s="21" t="str">
        <x:v>TR-B</x:v>
      </x:c>
      <x:c r="F130" s="21" t="n">
        <x:v>6</x:v>
      </x:c>
      <x:c r="G130" s="21" t="str">
        <x:v>package accepted</x:v>
      </x:c>
      <x:c r="H130" s="21" t="str">
        <x:v>OPEN</x:v>
      </x:c>
      <x:c r="I130" s="21" t="str"/>
      <x:c r="J130" s="21" t="str"/>
    </x:row>
    <x:row r="131">
      <x:c r="A131" s="21" t="str">
        <x:v>QE03-C06-E07</x:v>
      </x:c>
      <x:c r="B131" s="21" t="str">
        <x:v>QE03-C06</x:v>
      </x:c>
      <x:c r="C131" s="21" t="str">
        <x:v>RFP-B1</x:v>
      </x:c>
      <x:c r="D131" s="21" t="str">
        <x:v>PTC-B</x:v>
      </x:c>
      <x:c r="E131" s="21" t="str">
        <x:v>TR-B</x:v>
      </x:c>
      <x:c r="F131" s="21" t="n">
        <x:v>7</x:v>
      </x:c>
      <x:c r="G131" s="21" t="str">
        <x:v>package characteristics</x:v>
      </x:c>
      <x:c r="H131" s="21" t="str">
        <x:v>OPEN</x:v>
      </x:c>
      <x:c r="I131" s="21" t="str"/>
      <x:c r="J131" s="21" t="str"/>
    </x:row>
    <x:row r="132">
      <x:c r="A132" s="21" t="str">
        <x:v>QE03-C06-E08</x:v>
      </x:c>
      <x:c r="B132" s="21" t="str">
        <x:v>QE03-C06</x:v>
      </x:c>
      <x:c r="C132" s="21" t="str">
        <x:v>RFP-B1</x:v>
      </x:c>
      <x:c r="D132" s="21" t="str">
        <x:v>PTC-B</x:v>
      </x:c>
      <x:c r="E132" s="21" t="str">
        <x:v>TR-B</x:v>
      </x:c>
      <x:c r="F132" s="21" t="n">
        <x:v>8</x:v>
      </x:c>
      <x:c r="G132" s="21" t="str">
        <x:v>source metrology</x:v>
      </x:c>
      <x:c r="H132" s="21" t="str">
        <x:v>OPEN</x:v>
      </x:c>
      <x:c r="I132" s="21" t="str"/>
      <x:c r="J132" s="21" t="str"/>
    </x:row>
    <x:row r="133">
      <x:c r="A133" s="21" t="str">
        <x:v>QE03-C06-E09</x:v>
      </x:c>
      <x:c r="B133" s="21" t="str">
        <x:v>QE03-C06</x:v>
      </x:c>
      <x:c r="C133" s="21" t="str">
        <x:v>RFP-B1</x:v>
      </x:c>
      <x:c r="D133" s="21" t="str">
        <x:v>PTC-B</x:v>
      </x:c>
      <x:c r="E133" s="21" t="str">
        <x:v>TR-B</x:v>
      </x:c>
      <x:c r="F133" s="21" t="n">
        <x:v>9</x:v>
      </x:c>
      <x:c r="G133" s="21" t="str">
        <x:v>dynamic hold-up</x:v>
      </x:c>
      <x:c r="H133" s="21" t="str">
        <x:v>OPEN</x:v>
      </x:c>
      <x:c r="I133" s="21" t="str"/>
      <x:c r="J133" s="21" t="str"/>
    </x:row>
    <x:row r="134">
      <x:c r="A134" s="21" t="str">
        <x:v>QE03-C06-E10</x:v>
      </x:c>
      <x:c r="B134" s="21" t="str">
        <x:v>QE03-C06</x:v>
      </x:c>
      <x:c r="C134" s="21" t="str">
        <x:v>RFP-B1</x:v>
      </x:c>
      <x:c r="D134" s="21" t="str">
        <x:v>PTC-B</x:v>
      </x:c>
      <x:c r="E134" s="21" t="str">
        <x:v>TR-B</x:v>
      </x:c>
      <x:c r="F134" s="21" t="n">
        <x:v>10</x:v>
      </x:c>
      <x:c r="G134" s="21" t="str">
        <x:v>pressure transient</x:v>
      </x:c>
      <x:c r="H134" s="21" t="str">
        <x:v>OPEN</x:v>
      </x:c>
      <x:c r="I134" s="21" t="str"/>
      <x:c r="J134" s="21" t="str"/>
    </x:row>
    <x:row r="135">
      <x:c r="A135" s="21" t="str">
        <x:v>QE03-C06-E11</x:v>
      </x:c>
      <x:c r="B135" s="21" t="str">
        <x:v>QE03-C06</x:v>
      </x:c>
      <x:c r="C135" s="21" t="str">
        <x:v>RFP-B1</x:v>
      </x:c>
      <x:c r="D135" s="21" t="str">
        <x:v>PTC-B</x:v>
      </x:c>
      <x:c r="E135" s="21" t="str">
        <x:v>TR-B</x:v>
      </x:c>
      <x:c r="F135" s="21" t="n">
        <x:v>11</x:v>
      </x:c>
      <x:c r="G135" s="21" t="str">
        <x:v>safeing elements and paths</x:v>
      </x:c>
      <x:c r="H135" s="21" t="str">
        <x:v>OPEN</x:v>
      </x:c>
      <x:c r="I135" s="21" t="str"/>
      <x:c r="J135" s="21" t="str"/>
    </x:row>
    <x:row r="136">
      <x:c r="A136" s="21" t="str">
        <x:v>QE03-C06-E12</x:v>
      </x:c>
      <x:c r="B136" s="21" t="str">
        <x:v>QE03-C06</x:v>
      </x:c>
      <x:c r="C136" s="21" t="str">
        <x:v>RFP-B1</x:v>
      </x:c>
      <x:c r="D136" s="21" t="str">
        <x:v>PTC-B</x:v>
      </x:c>
      <x:c r="E136" s="21" t="str">
        <x:v>TR-B</x:v>
      </x:c>
      <x:c r="F136" s="21" t="n">
        <x:v>12</x:v>
      </x:c>
      <x:c r="G136" s="21" t="str">
        <x:v>casualty custody</x:v>
      </x:c>
      <x:c r="H136" s="21" t="str">
        <x:v>OPEN</x:v>
      </x:c>
      <x:c r="I136" s="21" t="str"/>
      <x:c r="J136" s="21" t="str"/>
    </x:row>
    <x:row r="137">
      <x:c r="A137" s="21" t="str">
        <x:v>QE03-C06-E13</x:v>
      </x:c>
      <x:c r="B137" s="21" t="str">
        <x:v>QE03-C06</x:v>
      </x:c>
      <x:c r="C137" s="21" t="str">
        <x:v>RFP-B1</x:v>
      </x:c>
      <x:c r="D137" s="21" t="str">
        <x:v>PTC-B</x:v>
      </x:c>
      <x:c r="E137" s="21" t="str">
        <x:v>TR-B</x:v>
      </x:c>
      <x:c r="F137" s="21" t="n">
        <x:v>13</x:v>
      </x:c>
      <x:c r="G137" s="21" t="str">
        <x:v>environmental background</x:v>
      </x:c>
      <x:c r="H137" s="21" t="str">
        <x:v>OPEN</x:v>
      </x:c>
      <x:c r="I137" s="21" t="str"/>
      <x:c r="J137" s="21" t="str"/>
    </x:row>
    <x:row r="138">
      <x:c r="A138" s="21" t="str">
        <x:v>QE03-C06-E14</x:v>
      </x:c>
      <x:c r="B138" s="21" t="str">
        <x:v>QE03-C06</x:v>
      </x:c>
      <x:c r="C138" s="21" t="str">
        <x:v>RFP-B1</x:v>
      </x:c>
      <x:c r="D138" s="21" t="str">
        <x:v>PTC-B</x:v>
      </x:c>
      <x:c r="E138" s="21" t="str">
        <x:v>TR-B</x:v>
      </x:c>
      <x:c r="F138" s="21" t="n">
        <x:v>14</x:v>
      </x:c>
      <x:c r="G138" s="21" t="str">
        <x:v>observed zero method water</x:v>
      </x:c>
      <x:c r="H138" s="21" t="str">
        <x:v>OPEN</x:v>
      </x:c>
      <x:c r="I138" s="21" t="str"/>
      <x:c r="J138" s="21" t="str"/>
    </x:row>
    <x:row r="139">
      <x:c r="A139" s="21" t="str">
        <x:v>QE03-C06-E15</x:v>
      </x:c>
      <x:c r="B139" s="21" t="str">
        <x:v>QE03-C06</x:v>
      </x:c>
      <x:c r="C139" s="21" t="str">
        <x:v>RFP-B1</x:v>
      </x:c>
      <x:c r="D139" s="21" t="str">
        <x:v>PTC-B</x:v>
      </x:c>
      <x:c r="E139" s="21" t="str">
        <x:v>TR-B</x:v>
      </x:c>
      <x:c r="F139" s="21" t="n">
        <x:v>15</x:v>
      </x:c>
      <x:c r="G139" s="21" t="str">
        <x:v>evidence capacity</x:v>
      </x:c>
      <x:c r="H139" s="21" t="str">
        <x:v>OPEN</x:v>
      </x:c>
      <x:c r="I139" s="21" t="str"/>
      <x:c r="J139" s="21" t="str"/>
    </x:row>
    <x:row r="140">
      <x:c r="A140" s="21" t="str">
        <x:v>QE03-C06-E16</x:v>
      </x:c>
      <x:c r="B140" s="21" t="str">
        <x:v>QE03-C06</x:v>
      </x:c>
      <x:c r="C140" s="21" t="str">
        <x:v>RFP-B1</x:v>
      </x:c>
      <x:c r="D140" s="21" t="str">
        <x:v>PTC-B</x:v>
      </x:c>
      <x:c r="E140" s="21" t="str">
        <x:v>TR-B</x:v>
      </x:c>
      <x:c r="F140" s="21" t="n">
        <x:v>16</x:v>
      </x:c>
      <x:c r="G140" s="21" t="str">
        <x:v>causal time</x:v>
      </x:c>
      <x:c r="H140" s="21" t="str">
        <x:v>OPEN</x:v>
      </x:c>
      <x:c r="I140" s="21" t="str"/>
      <x:c r="J140" s="21" t="str"/>
    </x:row>
    <x:row r="141">
      <x:c r="A141" s="21" t="str">
        <x:v>QE03-C06-E17</x:v>
      </x:c>
      <x:c r="B141" s="21" t="str">
        <x:v>QE03-C06</x:v>
      </x:c>
      <x:c r="C141" s="21" t="str">
        <x:v>RFP-B1</x:v>
      </x:c>
      <x:c r="D141" s="21" t="str">
        <x:v>PTC-B</x:v>
      </x:c>
      <x:c r="E141" s="21" t="str">
        <x:v>TR-B</x:v>
      </x:c>
      <x:c r="F141" s="21" t="n">
        <x:v>17</x:v>
      </x:c>
      <x:c r="G141" s="21" t="str">
        <x:v>incoming source-exposed baseline</x:v>
      </x:c>
      <x:c r="H141" s="21" t="str">
        <x:v>OPEN</x:v>
      </x:c>
      <x:c r="I141" s="21" t="str"/>
      <x:c r="J141" s="21" t="str"/>
    </x:row>
    <x:row r="142">
      <x:c r="A142" s="21" t="str">
        <x:v>QE03-C06-E18</x:v>
      </x:c>
      <x:c r="B142" s="21" t="str">
        <x:v>QE03-C06</x:v>
      </x:c>
      <x:c r="C142" s="21" t="str">
        <x:v>RFP-B1</x:v>
      </x:c>
      <x:c r="D142" s="21" t="str">
        <x:v>PTC-B</x:v>
      </x:c>
      <x:c r="E142" s="21" t="str">
        <x:v>TR-B</x:v>
      </x:c>
      <x:c r="F142" s="21" t="n">
        <x:v>18</x:v>
      </x:c>
      <x:c r="G142" s="21" t="str">
        <x:v>64-position crew</x:v>
      </x:c>
      <x:c r="H142" s="21" t="str">
        <x:v>OPEN</x:v>
      </x:c>
      <x:c r="I142" s="21" t="str"/>
      <x:c r="J142" s="21" t="str"/>
    </x:row>
    <x:row r="143">
      <x:c r="A143" s="21" t="str">
        <x:v>QE03-C06-E19</x:v>
      </x:c>
      <x:c r="B143" s="21" t="str">
        <x:v>QE03-C06</x:v>
      </x:c>
      <x:c r="C143" s="21" t="str">
        <x:v>RFP-B1</x:v>
      </x:c>
      <x:c r="D143" s="21" t="str">
        <x:v>PTC-B</x:v>
      </x:c>
      <x:c r="E143" s="21" t="str">
        <x:v>TR-B</x:v>
      </x:c>
      <x:c r="F143" s="21" t="n">
        <x:v>19</x:v>
      </x:c>
      <x:c r="G143" s="21" t="str">
        <x:v>rescue and exclusion</x:v>
      </x:c>
      <x:c r="H143" s="21" t="str">
        <x:v>OPEN</x:v>
      </x:c>
      <x:c r="I143" s="21" t="str"/>
      <x:c r="J143" s="21" t="str"/>
    </x:row>
    <x:row r="144">
      <x:c r="A144" s="21" t="str">
        <x:v>QE03-C06-E20</x:v>
      </x:c>
      <x:c r="B144" s="21" t="str">
        <x:v>QE03-C06</x:v>
      </x:c>
      <x:c r="C144" s="21" t="str">
        <x:v>RFP-B1</x:v>
      </x:c>
      <x:c r="D144" s="21" t="str">
        <x:v>PTC-B</x:v>
      </x:c>
      <x:c r="E144" s="21" t="str">
        <x:v>TR-B</x:v>
      </x:c>
      <x:c r="F144" s="21" t="n">
        <x:v>20</x:v>
      </x:c>
      <x:c r="G144" s="21" t="str">
        <x:v>waste destinations</x:v>
      </x:c>
      <x:c r="H144" s="21" t="str">
        <x:v>OPEN</x:v>
      </x:c>
      <x:c r="I144" s="21" t="str"/>
      <x:c r="J144" s="21" t="str"/>
    </x:row>
    <x:row r="145">
      <x:c r="A145" s="21" t="str">
        <x:v>QE03-C06-E21</x:v>
      </x:c>
      <x:c r="B145" s="21" t="str">
        <x:v>QE03-C06</x:v>
      </x:c>
      <x:c r="C145" s="21" t="str">
        <x:v>RFP-B1</x:v>
      </x:c>
      <x:c r="D145" s="21" t="str">
        <x:v>PTC-B</x:v>
      </x:c>
      <x:c r="E145" s="21" t="str">
        <x:v>TR-B</x:v>
      </x:c>
      <x:c r="F145" s="21" t="n">
        <x:v>21</x:v>
      </x:c>
      <x:c r="G145" s="21" t="str">
        <x:v>outside-origin replay</x:v>
      </x:c>
      <x:c r="H145" s="21" t="str">
        <x:v>OPEN</x:v>
      </x:c>
      <x:c r="I145" s="21" t="str"/>
      <x:c r="J145" s="21" t="str"/>
    </x:row>
    <x:row r="146">
      <x:c r="A146" s="21" t="str">
        <x:v>QE03-C06-E22</x:v>
      </x:c>
      <x:c r="B146" s="21" t="str">
        <x:v>QE03-C06</x:v>
      </x:c>
      <x:c r="C146" s="21" t="str">
        <x:v>RFP-B1</x:v>
      </x:c>
      <x:c r="D146" s="21" t="str">
        <x:v>PTC-B</x:v>
      </x:c>
      <x:c r="E146" s="21" t="str">
        <x:v>TR-B</x:v>
      </x:c>
      <x:c r="F146" s="21" t="n">
        <x:v>22</x:v>
      </x:c>
      <x:c r="G146" s="21" t="str">
        <x:v>neighbor state</x:v>
      </x:c>
      <x:c r="H146" s="21" t="str">
        <x:v>OPEN</x:v>
      </x:c>
      <x:c r="I146" s="21" t="str"/>
      <x:c r="J146" s="21" t="str"/>
    </x:row>
    <x:row r="147">
      <x:c r="A147" s="21" t="str">
        <x:v>QE03-C06-E23</x:v>
      </x:c>
      <x:c r="B147" s="21" t="str">
        <x:v>QE03-C06</x:v>
      </x:c>
      <x:c r="C147" s="21" t="str">
        <x:v>RFP-B1</x:v>
      </x:c>
      <x:c r="D147" s="21" t="str">
        <x:v>PTC-B</x:v>
      </x:c>
      <x:c r="E147" s="21" t="str">
        <x:v>TR-B</x:v>
      </x:c>
      <x:c r="F147" s="21" t="n">
        <x:v>23</x:v>
      </x:c>
      <x:c r="G147" s="21" t="str">
        <x:v>change freeze</x:v>
      </x:c>
      <x:c r="H147" s="21" t="str">
        <x:v>OPEN</x:v>
      </x:c>
      <x:c r="I147" s="21" t="str"/>
      <x:c r="J147" s="21" t="str"/>
    </x:row>
    <x:row r="148">
      <x:c r="A148" s="21" t="str">
        <x:v>QE03-C06-E24</x:v>
      </x:c>
      <x:c r="B148" s="21" t="str">
        <x:v>QE03-C06</x:v>
      </x:c>
      <x:c r="C148" s="21" t="str">
        <x:v>RFP-B1</x:v>
      </x:c>
      <x:c r="D148" s="21" t="str">
        <x:v>PTC-B</x:v>
      </x:c>
      <x:c r="E148" s="21" t="str">
        <x:v>TR-B</x:v>
      </x:c>
      <x:c r="F148" s="21" t="n">
        <x:v>24</x:v>
      </x:c>
      <x:c r="G148" s="21" t="str">
        <x:v>issue concurrence</x:v>
      </x:c>
      <x:c r="H148" s="21" t="str">
        <x:v>OPEN</x:v>
      </x:c>
      <x:c r="I148" s="21" t="str"/>
      <x:c r="J148" s="21" t="str"/>
    </x:row>
    <x:row r="149">
      <x:c r="A149" s="21" t="str">
        <x:v>QE03-C07-E01</x:v>
      </x:c>
      <x:c r="B149" s="21" t="str">
        <x:v>QE03-C07</x:v>
      </x:c>
      <x:c r="C149" s="21" t="str">
        <x:v>RFP-B2</x:v>
      </x:c>
      <x:c r="D149" s="21" t="str">
        <x:v>PTC-B</x:v>
      </x:c>
      <x:c r="E149" s="21" t="str">
        <x:v>TR-A</x:v>
      </x:c>
      <x:c r="F149" s="21" t="n">
        <x:v>1</x:v>
      </x:c>
      <x:c r="G149" s="21" t="str">
        <x:v>RBB-1 source transfer</x:v>
      </x:c>
      <x:c r="H149" s="21" t="str">
        <x:v>OPEN</x:v>
      </x:c>
      <x:c r="I149" s="21" t="str"/>
      <x:c r="J149" s="21" t="str"/>
    </x:row>
    <x:row r="150">
      <x:c r="A150" s="21" t="str">
        <x:v>QE03-C07-E02</x:v>
      </x:c>
      <x:c r="B150" s="21" t="str">
        <x:v>QE03-C07</x:v>
      </x:c>
      <x:c r="C150" s="21" t="str">
        <x:v>RFP-B2</x:v>
      </x:c>
      <x:c r="D150" s="21" t="str">
        <x:v>PTC-B</x:v>
      </x:c>
      <x:c r="E150" s="21" t="str">
        <x:v>TR-A</x:v>
      </x:c>
      <x:c r="F150" s="21" t="n">
        <x:v>2</x:v>
      </x:c>
      <x:c r="G150" s="21" t="str">
        <x:v>article current</x:v>
      </x:c>
      <x:c r="H150" s="21" t="str">
        <x:v>OPEN</x:v>
      </x:c>
      <x:c r="I150" s="21" t="str"/>
      <x:c r="J150" s="21" t="str"/>
    </x:row>
    <x:row r="151">
      <x:c r="A151" s="21" t="str">
        <x:v>QE03-C07-E03</x:v>
      </x:c>
      <x:c r="B151" s="21" t="str">
        <x:v>QE03-C07</x:v>
      </x:c>
      <x:c r="C151" s="21" t="str">
        <x:v>RFP-B2</x:v>
      </x:c>
      <x:c r="D151" s="21" t="str">
        <x:v>PTC-B</x:v>
      </x:c>
      <x:c r="E151" s="21" t="str">
        <x:v>TR-A</x:v>
      </x:c>
      <x:c r="F151" s="21" t="n">
        <x:v>3</x:v>
      </x:c>
      <x:c r="G151" s="21" t="str">
        <x:v>rate trials</x:v>
      </x:c>
      <x:c r="H151" s="21" t="str">
        <x:v>OPEN</x:v>
      </x:c>
      <x:c r="I151" s="21" t="str"/>
      <x:c r="J151" s="21" t="str"/>
    </x:row>
    <x:row r="152">
      <x:c r="A152" s="21" t="str">
        <x:v>QE03-C07-E04</x:v>
      </x:c>
      <x:c r="B152" s="21" t="str">
        <x:v>QE03-C07</x:v>
      </x:c>
      <x:c r="C152" s="21" t="str">
        <x:v>RFP-B2</x:v>
      </x:c>
      <x:c r="D152" s="21" t="str">
        <x:v>PTC-B</x:v>
      </x:c>
      <x:c r="E152" s="21" t="str">
        <x:v>TR-A</x:v>
      </x:c>
      <x:c r="F152" s="21" t="n">
        <x:v>4</x:v>
      </x:c>
      <x:c r="G152" s="21" t="str">
        <x:v>conversion assembly</x:v>
      </x:c>
      <x:c r="H152" s="21" t="str">
        <x:v>OPEN</x:v>
      </x:c>
      <x:c r="I152" s="21" t="str"/>
      <x:c r="J152" s="21" t="str"/>
    </x:row>
    <x:row r="153">
      <x:c r="A153" s="21" t="str">
        <x:v>QE03-C07-E05</x:v>
      </x:c>
      <x:c r="B153" s="21" t="str">
        <x:v>QE03-C07</x:v>
      </x:c>
      <x:c r="C153" s="21" t="str">
        <x:v>RFP-B2</x:v>
      </x:c>
      <x:c r="D153" s="21" t="str">
        <x:v>PTC-B</x:v>
      </x:c>
      <x:c r="E153" s="21" t="str">
        <x:v>TR-A</x:v>
      </x:c>
      <x:c r="F153" s="21" t="n">
        <x:v>5</x:v>
      </x:c>
      <x:c r="G153" s="21" t="str">
        <x:v>receiver capacity</x:v>
      </x:c>
      <x:c r="H153" s="21" t="str">
        <x:v>OPEN</x:v>
      </x:c>
      <x:c r="I153" s="21" t="str"/>
      <x:c r="J153" s="21" t="str"/>
    </x:row>
    <x:row r="154">
      <x:c r="A154" s="21" t="str">
        <x:v>QE03-C07-E06</x:v>
      </x:c>
      <x:c r="B154" s="21" t="str">
        <x:v>QE03-C07</x:v>
      </x:c>
      <x:c r="C154" s="21" t="str">
        <x:v>RFP-B2</x:v>
      </x:c>
      <x:c r="D154" s="21" t="str">
        <x:v>PTC-B</x:v>
      </x:c>
      <x:c r="E154" s="21" t="str">
        <x:v>TR-A</x:v>
      </x:c>
      <x:c r="F154" s="21" t="n">
        <x:v>6</x:v>
      </x:c>
      <x:c r="G154" s="21" t="str">
        <x:v>package accepted</x:v>
      </x:c>
      <x:c r="H154" s="21" t="str">
        <x:v>OPEN</x:v>
      </x:c>
      <x:c r="I154" s="21" t="str"/>
      <x:c r="J154" s="21" t="str"/>
    </x:row>
    <x:row r="155">
      <x:c r="A155" s="21" t="str">
        <x:v>QE03-C07-E07</x:v>
      </x:c>
      <x:c r="B155" s="21" t="str">
        <x:v>QE03-C07</x:v>
      </x:c>
      <x:c r="C155" s="21" t="str">
        <x:v>RFP-B2</x:v>
      </x:c>
      <x:c r="D155" s="21" t="str">
        <x:v>PTC-B</x:v>
      </x:c>
      <x:c r="E155" s="21" t="str">
        <x:v>TR-A</x:v>
      </x:c>
      <x:c r="F155" s="21" t="n">
        <x:v>7</x:v>
      </x:c>
      <x:c r="G155" s="21" t="str">
        <x:v>package characteristics</x:v>
      </x:c>
      <x:c r="H155" s="21" t="str">
        <x:v>OPEN</x:v>
      </x:c>
      <x:c r="I155" s="21" t="str"/>
      <x:c r="J155" s="21" t="str"/>
    </x:row>
    <x:row r="156">
      <x:c r="A156" s="21" t="str">
        <x:v>QE03-C07-E08</x:v>
      </x:c>
      <x:c r="B156" s="21" t="str">
        <x:v>QE03-C07</x:v>
      </x:c>
      <x:c r="C156" s="21" t="str">
        <x:v>RFP-B2</x:v>
      </x:c>
      <x:c r="D156" s="21" t="str">
        <x:v>PTC-B</x:v>
      </x:c>
      <x:c r="E156" s="21" t="str">
        <x:v>TR-A</x:v>
      </x:c>
      <x:c r="F156" s="21" t="n">
        <x:v>8</x:v>
      </x:c>
      <x:c r="G156" s="21" t="str">
        <x:v>source metrology</x:v>
      </x:c>
      <x:c r="H156" s="21" t="str">
        <x:v>OPEN</x:v>
      </x:c>
      <x:c r="I156" s="21" t="str"/>
      <x:c r="J156" s="21" t="str"/>
    </x:row>
    <x:row r="157">
      <x:c r="A157" s="21" t="str">
        <x:v>QE03-C07-E09</x:v>
      </x:c>
      <x:c r="B157" s="21" t="str">
        <x:v>QE03-C07</x:v>
      </x:c>
      <x:c r="C157" s="21" t="str">
        <x:v>RFP-B2</x:v>
      </x:c>
      <x:c r="D157" s="21" t="str">
        <x:v>PTC-B</x:v>
      </x:c>
      <x:c r="E157" s="21" t="str">
        <x:v>TR-A</x:v>
      </x:c>
      <x:c r="F157" s="21" t="n">
        <x:v>9</x:v>
      </x:c>
      <x:c r="G157" s="21" t="str">
        <x:v>dynamic hold-up</x:v>
      </x:c>
      <x:c r="H157" s="21" t="str">
        <x:v>OPEN</x:v>
      </x:c>
      <x:c r="I157" s="21" t="str"/>
      <x:c r="J157" s="21" t="str"/>
    </x:row>
    <x:row r="158">
      <x:c r="A158" s="21" t="str">
        <x:v>QE03-C07-E10</x:v>
      </x:c>
      <x:c r="B158" s="21" t="str">
        <x:v>QE03-C07</x:v>
      </x:c>
      <x:c r="C158" s="21" t="str">
        <x:v>RFP-B2</x:v>
      </x:c>
      <x:c r="D158" s="21" t="str">
        <x:v>PTC-B</x:v>
      </x:c>
      <x:c r="E158" s="21" t="str">
        <x:v>TR-A</x:v>
      </x:c>
      <x:c r="F158" s="21" t="n">
        <x:v>10</x:v>
      </x:c>
      <x:c r="G158" s="21" t="str">
        <x:v>pressure transient</x:v>
      </x:c>
      <x:c r="H158" s="21" t="str">
        <x:v>OPEN</x:v>
      </x:c>
      <x:c r="I158" s="21" t="str"/>
      <x:c r="J158" s="21" t="str"/>
    </x:row>
    <x:row r="159">
      <x:c r="A159" s="21" t="str">
        <x:v>QE03-C07-E11</x:v>
      </x:c>
      <x:c r="B159" s="21" t="str">
        <x:v>QE03-C07</x:v>
      </x:c>
      <x:c r="C159" s="21" t="str">
        <x:v>RFP-B2</x:v>
      </x:c>
      <x:c r="D159" s="21" t="str">
        <x:v>PTC-B</x:v>
      </x:c>
      <x:c r="E159" s="21" t="str">
        <x:v>TR-A</x:v>
      </x:c>
      <x:c r="F159" s="21" t="n">
        <x:v>11</x:v>
      </x:c>
      <x:c r="G159" s="21" t="str">
        <x:v>safeing elements and paths</x:v>
      </x:c>
      <x:c r="H159" s="21" t="str">
        <x:v>OPEN</x:v>
      </x:c>
      <x:c r="I159" s="21" t="str"/>
      <x:c r="J159" s="21" t="str"/>
    </x:row>
    <x:row r="160">
      <x:c r="A160" s="21" t="str">
        <x:v>QE03-C07-E12</x:v>
      </x:c>
      <x:c r="B160" s="21" t="str">
        <x:v>QE03-C07</x:v>
      </x:c>
      <x:c r="C160" s="21" t="str">
        <x:v>RFP-B2</x:v>
      </x:c>
      <x:c r="D160" s="21" t="str">
        <x:v>PTC-B</x:v>
      </x:c>
      <x:c r="E160" s="21" t="str">
        <x:v>TR-A</x:v>
      </x:c>
      <x:c r="F160" s="21" t="n">
        <x:v>12</x:v>
      </x:c>
      <x:c r="G160" s="21" t="str">
        <x:v>casualty custody</x:v>
      </x:c>
      <x:c r="H160" s="21" t="str">
        <x:v>OPEN</x:v>
      </x:c>
      <x:c r="I160" s="21" t="str"/>
      <x:c r="J160" s="21" t="str"/>
    </x:row>
    <x:row r="161">
      <x:c r="A161" s="21" t="str">
        <x:v>QE03-C07-E13</x:v>
      </x:c>
      <x:c r="B161" s="21" t="str">
        <x:v>QE03-C07</x:v>
      </x:c>
      <x:c r="C161" s="21" t="str">
        <x:v>RFP-B2</x:v>
      </x:c>
      <x:c r="D161" s="21" t="str">
        <x:v>PTC-B</x:v>
      </x:c>
      <x:c r="E161" s="21" t="str">
        <x:v>TR-A</x:v>
      </x:c>
      <x:c r="F161" s="21" t="n">
        <x:v>13</x:v>
      </x:c>
      <x:c r="G161" s="21" t="str">
        <x:v>environmental background</x:v>
      </x:c>
      <x:c r="H161" s="21" t="str">
        <x:v>OPEN</x:v>
      </x:c>
      <x:c r="I161" s="21" t="str"/>
      <x:c r="J161" s="21" t="str"/>
    </x:row>
    <x:row r="162">
      <x:c r="A162" s="21" t="str">
        <x:v>QE03-C07-E14</x:v>
      </x:c>
      <x:c r="B162" s="21" t="str">
        <x:v>QE03-C07</x:v>
      </x:c>
      <x:c r="C162" s="21" t="str">
        <x:v>RFP-B2</x:v>
      </x:c>
      <x:c r="D162" s="21" t="str">
        <x:v>PTC-B</x:v>
      </x:c>
      <x:c r="E162" s="21" t="str">
        <x:v>TR-A</x:v>
      </x:c>
      <x:c r="F162" s="21" t="n">
        <x:v>14</x:v>
      </x:c>
      <x:c r="G162" s="21" t="str">
        <x:v>observed zero method water</x:v>
      </x:c>
      <x:c r="H162" s="21" t="str">
        <x:v>OPEN</x:v>
      </x:c>
      <x:c r="I162" s="21" t="str"/>
      <x:c r="J162" s="21" t="str"/>
    </x:row>
    <x:row r="163">
      <x:c r="A163" s="21" t="str">
        <x:v>QE03-C07-E15</x:v>
      </x:c>
      <x:c r="B163" s="21" t="str">
        <x:v>QE03-C07</x:v>
      </x:c>
      <x:c r="C163" s="21" t="str">
        <x:v>RFP-B2</x:v>
      </x:c>
      <x:c r="D163" s="21" t="str">
        <x:v>PTC-B</x:v>
      </x:c>
      <x:c r="E163" s="21" t="str">
        <x:v>TR-A</x:v>
      </x:c>
      <x:c r="F163" s="21" t="n">
        <x:v>15</x:v>
      </x:c>
      <x:c r="G163" s="21" t="str">
        <x:v>evidence capacity</x:v>
      </x:c>
      <x:c r="H163" s="21" t="str">
        <x:v>OPEN</x:v>
      </x:c>
      <x:c r="I163" s="21" t="str"/>
      <x:c r="J163" s="21" t="str"/>
    </x:row>
    <x:row r="164">
      <x:c r="A164" s="21" t="str">
        <x:v>QE03-C07-E16</x:v>
      </x:c>
      <x:c r="B164" s="21" t="str">
        <x:v>QE03-C07</x:v>
      </x:c>
      <x:c r="C164" s="21" t="str">
        <x:v>RFP-B2</x:v>
      </x:c>
      <x:c r="D164" s="21" t="str">
        <x:v>PTC-B</x:v>
      </x:c>
      <x:c r="E164" s="21" t="str">
        <x:v>TR-A</x:v>
      </x:c>
      <x:c r="F164" s="21" t="n">
        <x:v>16</x:v>
      </x:c>
      <x:c r="G164" s="21" t="str">
        <x:v>causal time</x:v>
      </x:c>
      <x:c r="H164" s="21" t="str">
        <x:v>OPEN</x:v>
      </x:c>
      <x:c r="I164" s="21" t="str"/>
      <x:c r="J164" s="21" t="str"/>
    </x:row>
    <x:row r="165">
      <x:c r="A165" s="21" t="str">
        <x:v>QE03-C07-E17</x:v>
      </x:c>
      <x:c r="B165" s="21" t="str">
        <x:v>QE03-C07</x:v>
      </x:c>
      <x:c r="C165" s="21" t="str">
        <x:v>RFP-B2</x:v>
      </x:c>
      <x:c r="D165" s="21" t="str">
        <x:v>PTC-B</x:v>
      </x:c>
      <x:c r="E165" s="21" t="str">
        <x:v>TR-A</x:v>
      </x:c>
      <x:c r="F165" s="21" t="n">
        <x:v>17</x:v>
      </x:c>
      <x:c r="G165" s="21" t="str">
        <x:v>incoming source-exposed baseline</x:v>
      </x:c>
      <x:c r="H165" s="21" t="str">
        <x:v>OPEN</x:v>
      </x:c>
      <x:c r="I165" s="21" t="str"/>
      <x:c r="J165" s="21" t="str"/>
    </x:row>
    <x:row r="166">
      <x:c r="A166" s="21" t="str">
        <x:v>QE03-C07-E18</x:v>
      </x:c>
      <x:c r="B166" s="21" t="str">
        <x:v>QE03-C07</x:v>
      </x:c>
      <x:c r="C166" s="21" t="str">
        <x:v>RFP-B2</x:v>
      </x:c>
      <x:c r="D166" s="21" t="str">
        <x:v>PTC-B</x:v>
      </x:c>
      <x:c r="E166" s="21" t="str">
        <x:v>TR-A</x:v>
      </x:c>
      <x:c r="F166" s="21" t="n">
        <x:v>18</x:v>
      </x:c>
      <x:c r="G166" s="21" t="str">
        <x:v>64-position crew</x:v>
      </x:c>
      <x:c r="H166" s="21" t="str">
        <x:v>OPEN</x:v>
      </x:c>
      <x:c r="I166" s="21" t="str"/>
      <x:c r="J166" s="21" t="str"/>
    </x:row>
    <x:row r="167">
      <x:c r="A167" s="21" t="str">
        <x:v>QE03-C07-E19</x:v>
      </x:c>
      <x:c r="B167" s="21" t="str">
        <x:v>QE03-C07</x:v>
      </x:c>
      <x:c r="C167" s="21" t="str">
        <x:v>RFP-B2</x:v>
      </x:c>
      <x:c r="D167" s="21" t="str">
        <x:v>PTC-B</x:v>
      </x:c>
      <x:c r="E167" s="21" t="str">
        <x:v>TR-A</x:v>
      </x:c>
      <x:c r="F167" s="21" t="n">
        <x:v>19</x:v>
      </x:c>
      <x:c r="G167" s="21" t="str">
        <x:v>rescue and exclusion</x:v>
      </x:c>
      <x:c r="H167" s="21" t="str">
        <x:v>OPEN</x:v>
      </x:c>
      <x:c r="I167" s="21" t="str"/>
      <x:c r="J167" s="21" t="str"/>
    </x:row>
    <x:row r="168">
      <x:c r="A168" s="21" t="str">
        <x:v>QE03-C07-E20</x:v>
      </x:c>
      <x:c r="B168" s="21" t="str">
        <x:v>QE03-C07</x:v>
      </x:c>
      <x:c r="C168" s="21" t="str">
        <x:v>RFP-B2</x:v>
      </x:c>
      <x:c r="D168" s="21" t="str">
        <x:v>PTC-B</x:v>
      </x:c>
      <x:c r="E168" s="21" t="str">
        <x:v>TR-A</x:v>
      </x:c>
      <x:c r="F168" s="21" t="n">
        <x:v>20</x:v>
      </x:c>
      <x:c r="G168" s="21" t="str">
        <x:v>waste destinations</x:v>
      </x:c>
      <x:c r="H168" s="21" t="str">
        <x:v>OPEN</x:v>
      </x:c>
      <x:c r="I168" s="21" t="str"/>
      <x:c r="J168" s="21" t="str"/>
    </x:row>
    <x:row r="169">
      <x:c r="A169" s="21" t="str">
        <x:v>QE03-C07-E21</x:v>
      </x:c>
      <x:c r="B169" s="21" t="str">
        <x:v>QE03-C07</x:v>
      </x:c>
      <x:c r="C169" s="21" t="str">
        <x:v>RFP-B2</x:v>
      </x:c>
      <x:c r="D169" s="21" t="str">
        <x:v>PTC-B</x:v>
      </x:c>
      <x:c r="E169" s="21" t="str">
        <x:v>TR-A</x:v>
      </x:c>
      <x:c r="F169" s="21" t="n">
        <x:v>21</x:v>
      </x:c>
      <x:c r="G169" s="21" t="str">
        <x:v>outside-origin replay</x:v>
      </x:c>
      <x:c r="H169" s="21" t="str">
        <x:v>OPEN</x:v>
      </x:c>
      <x:c r="I169" s="21" t="str"/>
      <x:c r="J169" s="21" t="str"/>
    </x:row>
    <x:row r="170">
      <x:c r="A170" s="21" t="str">
        <x:v>QE03-C07-E22</x:v>
      </x:c>
      <x:c r="B170" s="21" t="str">
        <x:v>QE03-C07</x:v>
      </x:c>
      <x:c r="C170" s="21" t="str">
        <x:v>RFP-B2</x:v>
      </x:c>
      <x:c r="D170" s="21" t="str">
        <x:v>PTC-B</x:v>
      </x:c>
      <x:c r="E170" s="21" t="str">
        <x:v>TR-A</x:v>
      </x:c>
      <x:c r="F170" s="21" t="n">
        <x:v>22</x:v>
      </x:c>
      <x:c r="G170" s="21" t="str">
        <x:v>neighbor state</x:v>
      </x:c>
      <x:c r="H170" s="21" t="str">
        <x:v>OPEN</x:v>
      </x:c>
      <x:c r="I170" s="21" t="str"/>
      <x:c r="J170" s="21" t="str"/>
    </x:row>
    <x:row r="171">
      <x:c r="A171" s="21" t="str">
        <x:v>QE03-C07-E23</x:v>
      </x:c>
      <x:c r="B171" s="21" t="str">
        <x:v>QE03-C07</x:v>
      </x:c>
      <x:c r="C171" s="21" t="str">
        <x:v>RFP-B2</x:v>
      </x:c>
      <x:c r="D171" s="21" t="str">
        <x:v>PTC-B</x:v>
      </x:c>
      <x:c r="E171" s="21" t="str">
        <x:v>TR-A</x:v>
      </x:c>
      <x:c r="F171" s="21" t="n">
        <x:v>23</x:v>
      </x:c>
      <x:c r="G171" s="21" t="str">
        <x:v>change freeze</x:v>
      </x:c>
      <x:c r="H171" s="21" t="str">
        <x:v>OPEN</x:v>
      </x:c>
      <x:c r="I171" s="21" t="str"/>
      <x:c r="J171" s="21" t="str"/>
    </x:row>
    <x:row r="172">
      <x:c r="A172" s="21" t="str">
        <x:v>QE03-C07-E24</x:v>
      </x:c>
      <x:c r="B172" s="21" t="str">
        <x:v>QE03-C07</x:v>
      </x:c>
      <x:c r="C172" s="21" t="str">
        <x:v>RFP-B2</x:v>
      </x:c>
      <x:c r="D172" s="21" t="str">
        <x:v>PTC-B</x:v>
      </x:c>
      <x:c r="E172" s="21" t="str">
        <x:v>TR-A</x:v>
      </x:c>
      <x:c r="F172" s="21" t="n">
        <x:v>24</x:v>
      </x:c>
      <x:c r="G172" s="21" t="str">
        <x:v>issue concurrence</x:v>
      </x:c>
      <x:c r="H172" s="21" t="str">
        <x:v>OPEN</x:v>
      </x:c>
      <x:c r="I172" s="21" t="str"/>
      <x:c r="J172" s="21" t="str"/>
    </x:row>
    <x:row r="173">
      <x:c r="A173" s="21" t="str">
        <x:v>QE03-C08-E01</x:v>
      </x:c>
      <x:c r="B173" s="21" t="str">
        <x:v>QE03-C08</x:v>
      </x:c>
      <x:c r="C173" s="21" t="str">
        <x:v>RFP-B2</x:v>
      </x:c>
      <x:c r="D173" s="21" t="str">
        <x:v>PTC-B</x:v>
      </x:c>
      <x:c r="E173" s="21" t="str">
        <x:v>TR-B</x:v>
      </x:c>
      <x:c r="F173" s="21" t="n">
        <x:v>1</x:v>
      </x:c>
      <x:c r="G173" s="21" t="str">
        <x:v>RBB-1 source transfer</x:v>
      </x:c>
      <x:c r="H173" s="21" t="str">
        <x:v>OPEN</x:v>
      </x:c>
      <x:c r="I173" s="21" t="str"/>
      <x:c r="J173" s="21" t="str"/>
    </x:row>
    <x:row r="174">
      <x:c r="A174" s="21" t="str">
        <x:v>QE03-C08-E02</x:v>
      </x:c>
      <x:c r="B174" s="21" t="str">
        <x:v>QE03-C08</x:v>
      </x:c>
      <x:c r="C174" s="21" t="str">
        <x:v>RFP-B2</x:v>
      </x:c>
      <x:c r="D174" s="21" t="str">
        <x:v>PTC-B</x:v>
      </x:c>
      <x:c r="E174" s="21" t="str">
        <x:v>TR-B</x:v>
      </x:c>
      <x:c r="F174" s="21" t="n">
        <x:v>2</x:v>
      </x:c>
      <x:c r="G174" s="21" t="str">
        <x:v>article current</x:v>
      </x:c>
      <x:c r="H174" s="21" t="str">
        <x:v>OPEN</x:v>
      </x:c>
      <x:c r="I174" s="21" t="str"/>
      <x:c r="J174" s="21" t="str"/>
    </x:row>
    <x:row r="175">
      <x:c r="A175" s="21" t="str">
        <x:v>QE03-C08-E03</x:v>
      </x:c>
      <x:c r="B175" s="21" t="str">
        <x:v>QE03-C08</x:v>
      </x:c>
      <x:c r="C175" s="21" t="str">
        <x:v>RFP-B2</x:v>
      </x:c>
      <x:c r="D175" s="21" t="str">
        <x:v>PTC-B</x:v>
      </x:c>
      <x:c r="E175" s="21" t="str">
        <x:v>TR-B</x:v>
      </x:c>
      <x:c r="F175" s="21" t="n">
        <x:v>3</x:v>
      </x:c>
      <x:c r="G175" s="21" t="str">
        <x:v>rate trials</x:v>
      </x:c>
      <x:c r="H175" s="21" t="str">
        <x:v>OPEN</x:v>
      </x:c>
      <x:c r="I175" s="21" t="str"/>
      <x:c r="J175" s="21" t="str"/>
    </x:row>
    <x:row r="176">
      <x:c r="A176" s="21" t="str">
        <x:v>QE03-C08-E04</x:v>
      </x:c>
      <x:c r="B176" s="21" t="str">
        <x:v>QE03-C08</x:v>
      </x:c>
      <x:c r="C176" s="21" t="str">
        <x:v>RFP-B2</x:v>
      </x:c>
      <x:c r="D176" s="21" t="str">
        <x:v>PTC-B</x:v>
      </x:c>
      <x:c r="E176" s="21" t="str">
        <x:v>TR-B</x:v>
      </x:c>
      <x:c r="F176" s="21" t="n">
        <x:v>4</x:v>
      </x:c>
      <x:c r="G176" s="21" t="str">
        <x:v>conversion assembly</x:v>
      </x:c>
      <x:c r="H176" s="21" t="str">
        <x:v>OPEN</x:v>
      </x:c>
      <x:c r="I176" s="21" t="str"/>
      <x:c r="J176" s="21" t="str"/>
    </x:row>
    <x:row r="177">
      <x:c r="A177" s="21" t="str">
        <x:v>QE03-C08-E05</x:v>
      </x:c>
      <x:c r="B177" s="21" t="str">
        <x:v>QE03-C08</x:v>
      </x:c>
      <x:c r="C177" s="21" t="str">
        <x:v>RFP-B2</x:v>
      </x:c>
      <x:c r="D177" s="21" t="str">
        <x:v>PTC-B</x:v>
      </x:c>
      <x:c r="E177" s="21" t="str">
        <x:v>TR-B</x:v>
      </x:c>
      <x:c r="F177" s="21" t="n">
        <x:v>5</x:v>
      </x:c>
      <x:c r="G177" s="21" t="str">
        <x:v>receiver capacity</x:v>
      </x:c>
      <x:c r="H177" s="21" t="str">
        <x:v>OPEN</x:v>
      </x:c>
      <x:c r="I177" s="21" t="str"/>
      <x:c r="J177" s="21" t="str"/>
    </x:row>
    <x:row r="178">
      <x:c r="A178" s="21" t="str">
        <x:v>QE03-C08-E06</x:v>
      </x:c>
      <x:c r="B178" s="21" t="str">
        <x:v>QE03-C08</x:v>
      </x:c>
      <x:c r="C178" s="21" t="str">
        <x:v>RFP-B2</x:v>
      </x:c>
      <x:c r="D178" s="21" t="str">
        <x:v>PTC-B</x:v>
      </x:c>
      <x:c r="E178" s="21" t="str">
        <x:v>TR-B</x:v>
      </x:c>
      <x:c r="F178" s="21" t="n">
        <x:v>6</x:v>
      </x:c>
      <x:c r="G178" s="21" t="str">
        <x:v>package accepted</x:v>
      </x:c>
      <x:c r="H178" s="21" t="str">
        <x:v>OPEN</x:v>
      </x:c>
      <x:c r="I178" s="21" t="str"/>
      <x:c r="J178" s="21" t="str"/>
    </x:row>
    <x:row r="179">
      <x:c r="A179" s="21" t="str">
        <x:v>QE03-C08-E07</x:v>
      </x:c>
      <x:c r="B179" s="21" t="str">
        <x:v>QE03-C08</x:v>
      </x:c>
      <x:c r="C179" s="21" t="str">
        <x:v>RFP-B2</x:v>
      </x:c>
      <x:c r="D179" s="21" t="str">
        <x:v>PTC-B</x:v>
      </x:c>
      <x:c r="E179" s="21" t="str">
        <x:v>TR-B</x:v>
      </x:c>
      <x:c r="F179" s="21" t="n">
        <x:v>7</x:v>
      </x:c>
      <x:c r="G179" s="21" t="str">
        <x:v>package characteristics</x:v>
      </x:c>
      <x:c r="H179" s="21" t="str">
        <x:v>OPEN</x:v>
      </x:c>
      <x:c r="I179" s="21" t="str"/>
      <x:c r="J179" s="21" t="str"/>
    </x:row>
    <x:row r="180">
      <x:c r="A180" s="21" t="str">
        <x:v>QE03-C08-E08</x:v>
      </x:c>
      <x:c r="B180" s="21" t="str">
        <x:v>QE03-C08</x:v>
      </x:c>
      <x:c r="C180" s="21" t="str">
        <x:v>RFP-B2</x:v>
      </x:c>
      <x:c r="D180" s="21" t="str">
        <x:v>PTC-B</x:v>
      </x:c>
      <x:c r="E180" s="21" t="str">
        <x:v>TR-B</x:v>
      </x:c>
      <x:c r="F180" s="21" t="n">
        <x:v>8</x:v>
      </x:c>
      <x:c r="G180" s="21" t="str">
        <x:v>source metrology</x:v>
      </x:c>
      <x:c r="H180" s="21" t="str">
        <x:v>OPEN</x:v>
      </x:c>
      <x:c r="I180" s="21" t="str"/>
      <x:c r="J180" s="21" t="str"/>
    </x:row>
    <x:row r="181">
      <x:c r="A181" s="21" t="str">
        <x:v>QE03-C08-E09</x:v>
      </x:c>
      <x:c r="B181" s="21" t="str">
        <x:v>QE03-C08</x:v>
      </x:c>
      <x:c r="C181" s="21" t="str">
        <x:v>RFP-B2</x:v>
      </x:c>
      <x:c r="D181" s="21" t="str">
        <x:v>PTC-B</x:v>
      </x:c>
      <x:c r="E181" s="21" t="str">
        <x:v>TR-B</x:v>
      </x:c>
      <x:c r="F181" s="21" t="n">
        <x:v>9</x:v>
      </x:c>
      <x:c r="G181" s="21" t="str">
        <x:v>dynamic hold-up</x:v>
      </x:c>
      <x:c r="H181" s="21" t="str">
        <x:v>OPEN</x:v>
      </x:c>
      <x:c r="I181" s="21" t="str"/>
      <x:c r="J181" s="21" t="str"/>
    </x:row>
    <x:row r="182">
      <x:c r="A182" s="21" t="str">
        <x:v>QE03-C08-E10</x:v>
      </x:c>
      <x:c r="B182" s="21" t="str">
        <x:v>QE03-C08</x:v>
      </x:c>
      <x:c r="C182" s="21" t="str">
        <x:v>RFP-B2</x:v>
      </x:c>
      <x:c r="D182" s="21" t="str">
        <x:v>PTC-B</x:v>
      </x:c>
      <x:c r="E182" s="21" t="str">
        <x:v>TR-B</x:v>
      </x:c>
      <x:c r="F182" s="21" t="n">
        <x:v>10</x:v>
      </x:c>
      <x:c r="G182" s="21" t="str">
        <x:v>pressure transient</x:v>
      </x:c>
      <x:c r="H182" s="21" t="str">
        <x:v>OPEN</x:v>
      </x:c>
      <x:c r="I182" s="21" t="str"/>
      <x:c r="J182" s="21" t="str"/>
    </x:row>
    <x:row r="183">
      <x:c r="A183" s="21" t="str">
        <x:v>QE03-C08-E11</x:v>
      </x:c>
      <x:c r="B183" s="21" t="str">
        <x:v>QE03-C08</x:v>
      </x:c>
      <x:c r="C183" s="21" t="str">
        <x:v>RFP-B2</x:v>
      </x:c>
      <x:c r="D183" s="21" t="str">
        <x:v>PTC-B</x:v>
      </x:c>
      <x:c r="E183" s="21" t="str">
        <x:v>TR-B</x:v>
      </x:c>
      <x:c r="F183" s="21" t="n">
        <x:v>11</x:v>
      </x:c>
      <x:c r="G183" s="21" t="str">
        <x:v>safeing elements and paths</x:v>
      </x:c>
      <x:c r="H183" s="21" t="str">
        <x:v>OPEN</x:v>
      </x:c>
      <x:c r="I183" s="21" t="str"/>
      <x:c r="J183" s="21" t="str"/>
    </x:row>
    <x:row r="184">
      <x:c r="A184" s="21" t="str">
        <x:v>QE03-C08-E12</x:v>
      </x:c>
      <x:c r="B184" s="21" t="str">
        <x:v>QE03-C08</x:v>
      </x:c>
      <x:c r="C184" s="21" t="str">
        <x:v>RFP-B2</x:v>
      </x:c>
      <x:c r="D184" s="21" t="str">
        <x:v>PTC-B</x:v>
      </x:c>
      <x:c r="E184" s="21" t="str">
        <x:v>TR-B</x:v>
      </x:c>
      <x:c r="F184" s="21" t="n">
        <x:v>12</x:v>
      </x:c>
      <x:c r="G184" s="21" t="str">
        <x:v>casualty custody</x:v>
      </x:c>
      <x:c r="H184" s="21" t="str">
        <x:v>OPEN</x:v>
      </x:c>
      <x:c r="I184" s="21" t="str"/>
      <x:c r="J184" s="21" t="str"/>
    </x:row>
    <x:row r="185">
      <x:c r="A185" s="21" t="str">
        <x:v>QE03-C08-E13</x:v>
      </x:c>
      <x:c r="B185" s="21" t="str">
        <x:v>QE03-C08</x:v>
      </x:c>
      <x:c r="C185" s="21" t="str">
        <x:v>RFP-B2</x:v>
      </x:c>
      <x:c r="D185" s="21" t="str">
        <x:v>PTC-B</x:v>
      </x:c>
      <x:c r="E185" s="21" t="str">
        <x:v>TR-B</x:v>
      </x:c>
      <x:c r="F185" s="21" t="n">
        <x:v>13</x:v>
      </x:c>
      <x:c r="G185" s="21" t="str">
        <x:v>environmental background</x:v>
      </x:c>
      <x:c r="H185" s="21" t="str">
        <x:v>OPEN</x:v>
      </x:c>
      <x:c r="I185" s="21" t="str"/>
      <x:c r="J185" s="21" t="str"/>
    </x:row>
    <x:row r="186">
      <x:c r="A186" s="21" t="str">
        <x:v>QE03-C08-E14</x:v>
      </x:c>
      <x:c r="B186" s="21" t="str">
        <x:v>QE03-C08</x:v>
      </x:c>
      <x:c r="C186" s="21" t="str">
        <x:v>RFP-B2</x:v>
      </x:c>
      <x:c r="D186" s="21" t="str">
        <x:v>PTC-B</x:v>
      </x:c>
      <x:c r="E186" s="21" t="str">
        <x:v>TR-B</x:v>
      </x:c>
      <x:c r="F186" s="21" t="n">
        <x:v>14</x:v>
      </x:c>
      <x:c r="G186" s="21" t="str">
        <x:v>observed zero method water</x:v>
      </x:c>
      <x:c r="H186" s="21" t="str">
        <x:v>OPEN</x:v>
      </x:c>
      <x:c r="I186" s="21" t="str"/>
      <x:c r="J186" s="21" t="str"/>
    </x:row>
    <x:row r="187">
      <x:c r="A187" s="21" t="str">
        <x:v>QE03-C08-E15</x:v>
      </x:c>
      <x:c r="B187" s="21" t="str">
        <x:v>QE03-C08</x:v>
      </x:c>
      <x:c r="C187" s="21" t="str">
        <x:v>RFP-B2</x:v>
      </x:c>
      <x:c r="D187" s="21" t="str">
        <x:v>PTC-B</x:v>
      </x:c>
      <x:c r="E187" s="21" t="str">
        <x:v>TR-B</x:v>
      </x:c>
      <x:c r="F187" s="21" t="n">
        <x:v>15</x:v>
      </x:c>
      <x:c r="G187" s="21" t="str">
        <x:v>evidence capacity</x:v>
      </x:c>
      <x:c r="H187" s="21" t="str">
        <x:v>OPEN</x:v>
      </x:c>
      <x:c r="I187" s="21" t="str"/>
      <x:c r="J187" s="21" t="str"/>
    </x:row>
    <x:row r="188">
      <x:c r="A188" s="21" t="str">
        <x:v>QE03-C08-E16</x:v>
      </x:c>
      <x:c r="B188" s="21" t="str">
        <x:v>QE03-C08</x:v>
      </x:c>
      <x:c r="C188" s="21" t="str">
        <x:v>RFP-B2</x:v>
      </x:c>
      <x:c r="D188" s="21" t="str">
        <x:v>PTC-B</x:v>
      </x:c>
      <x:c r="E188" s="21" t="str">
        <x:v>TR-B</x:v>
      </x:c>
      <x:c r="F188" s="21" t="n">
        <x:v>16</x:v>
      </x:c>
      <x:c r="G188" s="21" t="str">
        <x:v>causal time</x:v>
      </x:c>
      <x:c r="H188" s="21" t="str">
        <x:v>OPEN</x:v>
      </x:c>
      <x:c r="I188" s="21" t="str"/>
      <x:c r="J188" s="21" t="str"/>
    </x:row>
    <x:row r="189">
      <x:c r="A189" s="21" t="str">
        <x:v>QE03-C08-E17</x:v>
      </x:c>
      <x:c r="B189" s="21" t="str">
        <x:v>QE03-C08</x:v>
      </x:c>
      <x:c r="C189" s="21" t="str">
        <x:v>RFP-B2</x:v>
      </x:c>
      <x:c r="D189" s="21" t="str">
        <x:v>PTC-B</x:v>
      </x:c>
      <x:c r="E189" s="21" t="str">
        <x:v>TR-B</x:v>
      </x:c>
      <x:c r="F189" s="21" t="n">
        <x:v>17</x:v>
      </x:c>
      <x:c r="G189" s="21" t="str">
        <x:v>incoming source-exposed baseline</x:v>
      </x:c>
      <x:c r="H189" s="21" t="str">
        <x:v>OPEN</x:v>
      </x:c>
      <x:c r="I189" s="21" t="str"/>
      <x:c r="J189" s="21" t="str"/>
    </x:row>
    <x:row r="190">
      <x:c r="A190" s="21" t="str">
        <x:v>QE03-C08-E18</x:v>
      </x:c>
      <x:c r="B190" s="21" t="str">
        <x:v>QE03-C08</x:v>
      </x:c>
      <x:c r="C190" s="21" t="str">
        <x:v>RFP-B2</x:v>
      </x:c>
      <x:c r="D190" s="21" t="str">
        <x:v>PTC-B</x:v>
      </x:c>
      <x:c r="E190" s="21" t="str">
        <x:v>TR-B</x:v>
      </x:c>
      <x:c r="F190" s="21" t="n">
        <x:v>18</x:v>
      </x:c>
      <x:c r="G190" s="21" t="str">
        <x:v>64-position crew</x:v>
      </x:c>
      <x:c r="H190" s="21" t="str">
        <x:v>OPEN</x:v>
      </x:c>
      <x:c r="I190" s="21" t="str"/>
      <x:c r="J190" s="21" t="str"/>
    </x:row>
    <x:row r="191">
      <x:c r="A191" s="21" t="str">
        <x:v>QE03-C08-E19</x:v>
      </x:c>
      <x:c r="B191" s="21" t="str">
        <x:v>QE03-C08</x:v>
      </x:c>
      <x:c r="C191" s="21" t="str">
        <x:v>RFP-B2</x:v>
      </x:c>
      <x:c r="D191" s="21" t="str">
        <x:v>PTC-B</x:v>
      </x:c>
      <x:c r="E191" s="21" t="str">
        <x:v>TR-B</x:v>
      </x:c>
      <x:c r="F191" s="21" t="n">
        <x:v>19</x:v>
      </x:c>
      <x:c r="G191" s="21" t="str">
        <x:v>rescue and exclusion</x:v>
      </x:c>
      <x:c r="H191" s="21" t="str">
        <x:v>OPEN</x:v>
      </x:c>
      <x:c r="I191" s="21" t="str"/>
      <x:c r="J191" s="21" t="str"/>
    </x:row>
    <x:row r="192">
      <x:c r="A192" s="21" t="str">
        <x:v>QE03-C08-E20</x:v>
      </x:c>
      <x:c r="B192" s="21" t="str">
        <x:v>QE03-C08</x:v>
      </x:c>
      <x:c r="C192" s="21" t="str">
        <x:v>RFP-B2</x:v>
      </x:c>
      <x:c r="D192" s="21" t="str">
        <x:v>PTC-B</x:v>
      </x:c>
      <x:c r="E192" s="21" t="str">
        <x:v>TR-B</x:v>
      </x:c>
      <x:c r="F192" s="21" t="n">
        <x:v>20</x:v>
      </x:c>
      <x:c r="G192" s="21" t="str">
        <x:v>waste destinations</x:v>
      </x:c>
      <x:c r="H192" s="21" t="str">
        <x:v>OPEN</x:v>
      </x:c>
      <x:c r="I192" s="21" t="str"/>
      <x:c r="J192" s="21" t="str"/>
    </x:row>
    <x:row r="193">
      <x:c r="A193" s="21" t="str">
        <x:v>QE03-C08-E21</x:v>
      </x:c>
      <x:c r="B193" s="21" t="str">
        <x:v>QE03-C08</x:v>
      </x:c>
      <x:c r="C193" s="21" t="str">
        <x:v>RFP-B2</x:v>
      </x:c>
      <x:c r="D193" s="21" t="str">
        <x:v>PTC-B</x:v>
      </x:c>
      <x:c r="E193" s="21" t="str">
        <x:v>TR-B</x:v>
      </x:c>
      <x:c r="F193" s="21" t="n">
        <x:v>21</x:v>
      </x:c>
      <x:c r="G193" s="21" t="str">
        <x:v>outside-origin replay</x:v>
      </x:c>
      <x:c r="H193" s="21" t="str">
        <x:v>OPEN</x:v>
      </x:c>
      <x:c r="I193" s="21" t="str"/>
      <x:c r="J193" s="21" t="str"/>
    </x:row>
    <x:row r="194">
      <x:c r="A194" s="21" t="str">
        <x:v>QE03-C08-E22</x:v>
      </x:c>
      <x:c r="B194" s="21" t="str">
        <x:v>QE03-C08</x:v>
      </x:c>
      <x:c r="C194" s="21" t="str">
        <x:v>RFP-B2</x:v>
      </x:c>
      <x:c r="D194" s="21" t="str">
        <x:v>PTC-B</x:v>
      </x:c>
      <x:c r="E194" s="21" t="str">
        <x:v>TR-B</x:v>
      </x:c>
      <x:c r="F194" s="21" t="n">
        <x:v>22</x:v>
      </x:c>
      <x:c r="G194" s="21" t="str">
        <x:v>neighbor state</x:v>
      </x:c>
      <x:c r="H194" s="21" t="str">
        <x:v>OPEN</x:v>
      </x:c>
      <x:c r="I194" s="21" t="str"/>
      <x:c r="J194" s="21" t="str"/>
    </x:row>
    <x:row r="195">
      <x:c r="A195" s="21" t="str">
        <x:v>QE03-C08-E23</x:v>
      </x:c>
      <x:c r="B195" s="21" t="str">
        <x:v>QE03-C08</x:v>
      </x:c>
      <x:c r="C195" s="21" t="str">
        <x:v>RFP-B2</x:v>
      </x:c>
      <x:c r="D195" s="21" t="str">
        <x:v>PTC-B</x:v>
      </x:c>
      <x:c r="E195" s="21" t="str">
        <x:v>TR-B</x:v>
      </x:c>
      <x:c r="F195" s="21" t="n">
        <x:v>23</x:v>
      </x:c>
      <x:c r="G195" s="21" t="str">
        <x:v>change freeze</x:v>
      </x:c>
      <x:c r="H195" s="21" t="str">
        <x:v>OPEN</x:v>
      </x:c>
      <x:c r="I195" s="21" t="str"/>
      <x:c r="J195" s="21" t="str"/>
    </x:row>
    <x:row r="196">
      <x:c r="A196" s="21" t="str">
        <x:v>QE03-C08-E24</x:v>
      </x:c>
      <x:c r="B196" s="21" t="str">
        <x:v>QE03-C08</x:v>
      </x:c>
      <x:c r="C196" s="21" t="str">
        <x:v>RFP-B2</x:v>
      </x:c>
      <x:c r="D196" s="21" t="str">
        <x:v>PTC-B</x:v>
      </x:c>
      <x:c r="E196" s="21" t="str">
        <x:v>TR-B</x:v>
      </x:c>
      <x:c r="F196" s="21" t="n">
        <x:v>24</x:v>
      </x:c>
      <x:c r="G196" s="21" t="str">
        <x:v>issue concurrence</x:v>
      </x:c>
      <x:c r="H196" s="21" t="str">
        <x:v>OPEN</x:v>
      </x:c>
      <x:c r="I196" s="21" t="str"/>
      <x:c r="J196" s="21" t="str"/>
    </x:row>
    <x:row r="197">
      <x:c r="A197" s="21" t="str">
        <x:v>QE03-C09-E01</x:v>
      </x:c>
      <x:c r="B197" s="21" t="str">
        <x:v>QE03-C09</x:v>
      </x:c>
      <x:c r="C197" s="21" t="str">
        <x:v>RFP-C1</x:v>
      </x:c>
      <x:c r="D197" s="21" t="str">
        <x:v>PTC-C</x:v>
      </x:c>
      <x:c r="E197" s="21" t="str">
        <x:v>TR-A</x:v>
      </x:c>
      <x:c r="F197" s="21" t="n">
        <x:v>1</x:v>
      </x:c>
      <x:c r="G197" s="21" t="str">
        <x:v>RBB-1 source transfer</x:v>
      </x:c>
      <x:c r="H197" s="21" t="str">
        <x:v>OPEN</x:v>
      </x:c>
      <x:c r="I197" s="21" t="str"/>
      <x:c r="J197" s="21" t="str"/>
    </x:row>
    <x:row r="198">
      <x:c r="A198" s="21" t="str">
        <x:v>QE03-C09-E02</x:v>
      </x:c>
      <x:c r="B198" s="21" t="str">
        <x:v>QE03-C09</x:v>
      </x:c>
      <x:c r="C198" s="21" t="str">
        <x:v>RFP-C1</x:v>
      </x:c>
      <x:c r="D198" s="21" t="str">
        <x:v>PTC-C</x:v>
      </x:c>
      <x:c r="E198" s="21" t="str">
        <x:v>TR-A</x:v>
      </x:c>
      <x:c r="F198" s="21" t="n">
        <x:v>2</x:v>
      </x:c>
      <x:c r="G198" s="21" t="str">
        <x:v>article current</x:v>
      </x:c>
      <x:c r="H198" s="21" t="str">
        <x:v>OPEN</x:v>
      </x:c>
      <x:c r="I198" s="21" t="str"/>
      <x:c r="J198" s="21" t="str"/>
    </x:row>
    <x:row r="199">
      <x:c r="A199" s="21" t="str">
        <x:v>QE03-C09-E03</x:v>
      </x:c>
      <x:c r="B199" s="21" t="str">
        <x:v>QE03-C09</x:v>
      </x:c>
      <x:c r="C199" s="21" t="str">
        <x:v>RFP-C1</x:v>
      </x:c>
      <x:c r="D199" s="21" t="str">
        <x:v>PTC-C</x:v>
      </x:c>
      <x:c r="E199" s="21" t="str">
        <x:v>TR-A</x:v>
      </x:c>
      <x:c r="F199" s="21" t="n">
        <x:v>3</x:v>
      </x:c>
      <x:c r="G199" s="21" t="str">
        <x:v>rate trials</x:v>
      </x:c>
      <x:c r="H199" s="21" t="str">
        <x:v>OPEN</x:v>
      </x:c>
      <x:c r="I199" s="21" t="str"/>
      <x:c r="J199" s="21" t="str"/>
    </x:row>
    <x:row r="200">
      <x:c r="A200" s="21" t="str">
        <x:v>QE03-C09-E04</x:v>
      </x:c>
      <x:c r="B200" s="21" t="str">
        <x:v>QE03-C09</x:v>
      </x:c>
      <x:c r="C200" s="21" t="str">
        <x:v>RFP-C1</x:v>
      </x:c>
      <x:c r="D200" s="21" t="str">
        <x:v>PTC-C</x:v>
      </x:c>
      <x:c r="E200" s="21" t="str">
        <x:v>TR-A</x:v>
      </x:c>
      <x:c r="F200" s="21" t="n">
        <x:v>4</x:v>
      </x:c>
      <x:c r="G200" s="21" t="str">
        <x:v>conversion assembly</x:v>
      </x:c>
      <x:c r="H200" s="21" t="str">
        <x:v>OPEN</x:v>
      </x:c>
      <x:c r="I200" s="21" t="str"/>
      <x:c r="J200" s="21" t="str"/>
    </x:row>
    <x:row r="201">
      <x:c r="A201" s="21" t="str">
        <x:v>QE03-C09-E05</x:v>
      </x:c>
      <x:c r="B201" s="21" t="str">
        <x:v>QE03-C09</x:v>
      </x:c>
      <x:c r="C201" s="21" t="str">
        <x:v>RFP-C1</x:v>
      </x:c>
      <x:c r="D201" s="21" t="str">
        <x:v>PTC-C</x:v>
      </x:c>
      <x:c r="E201" s="21" t="str">
        <x:v>TR-A</x:v>
      </x:c>
      <x:c r="F201" s="21" t="n">
        <x:v>5</x:v>
      </x:c>
      <x:c r="G201" s="21" t="str">
        <x:v>receiver capacity</x:v>
      </x:c>
      <x:c r="H201" s="21" t="str">
        <x:v>OPEN</x:v>
      </x:c>
      <x:c r="I201" s="21" t="str"/>
      <x:c r="J201" s="21" t="str"/>
    </x:row>
    <x:row r="202">
      <x:c r="A202" s="21" t="str">
        <x:v>QE03-C09-E06</x:v>
      </x:c>
      <x:c r="B202" s="21" t="str">
        <x:v>QE03-C09</x:v>
      </x:c>
      <x:c r="C202" s="21" t="str">
        <x:v>RFP-C1</x:v>
      </x:c>
      <x:c r="D202" s="21" t="str">
        <x:v>PTC-C</x:v>
      </x:c>
      <x:c r="E202" s="21" t="str">
        <x:v>TR-A</x:v>
      </x:c>
      <x:c r="F202" s="21" t="n">
        <x:v>6</x:v>
      </x:c>
      <x:c r="G202" s="21" t="str">
        <x:v>package accepted</x:v>
      </x:c>
      <x:c r="H202" s="21" t="str">
        <x:v>OPEN</x:v>
      </x:c>
      <x:c r="I202" s="21" t="str"/>
      <x:c r="J202" s="21" t="str"/>
    </x:row>
    <x:row r="203">
      <x:c r="A203" s="21" t="str">
        <x:v>QE03-C09-E07</x:v>
      </x:c>
      <x:c r="B203" s="21" t="str">
        <x:v>QE03-C09</x:v>
      </x:c>
      <x:c r="C203" s="21" t="str">
        <x:v>RFP-C1</x:v>
      </x:c>
      <x:c r="D203" s="21" t="str">
        <x:v>PTC-C</x:v>
      </x:c>
      <x:c r="E203" s="21" t="str">
        <x:v>TR-A</x:v>
      </x:c>
      <x:c r="F203" s="21" t="n">
        <x:v>7</x:v>
      </x:c>
      <x:c r="G203" s="21" t="str">
        <x:v>package characteristics</x:v>
      </x:c>
      <x:c r="H203" s="21" t="str">
        <x:v>OPEN</x:v>
      </x:c>
      <x:c r="I203" s="21" t="str"/>
      <x:c r="J203" s="21" t="str"/>
    </x:row>
    <x:row r="204">
      <x:c r="A204" s="21" t="str">
        <x:v>QE03-C09-E08</x:v>
      </x:c>
      <x:c r="B204" s="21" t="str">
        <x:v>QE03-C09</x:v>
      </x:c>
      <x:c r="C204" s="21" t="str">
        <x:v>RFP-C1</x:v>
      </x:c>
      <x:c r="D204" s="21" t="str">
        <x:v>PTC-C</x:v>
      </x:c>
      <x:c r="E204" s="21" t="str">
        <x:v>TR-A</x:v>
      </x:c>
      <x:c r="F204" s="21" t="n">
        <x:v>8</x:v>
      </x:c>
      <x:c r="G204" s="21" t="str">
        <x:v>source metrology</x:v>
      </x:c>
      <x:c r="H204" s="21" t="str">
        <x:v>OPEN</x:v>
      </x:c>
      <x:c r="I204" s="21" t="str"/>
      <x:c r="J204" s="21" t="str"/>
    </x:row>
    <x:row r="205">
      <x:c r="A205" s="21" t="str">
        <x:v>QE03-C09-E09</x:v>
      </x:c>
      <x:c r="B205" s="21" t="str">
        <x:v>QE03-C09</x:v>
      </x:c>
      <x:c r="C205" s="21" t="str">
        <x:v>RFP-C1</x:v>
      </x:c>
      <x:c r="D205" s="21" t="str">
        <x:v>PTC-C</x:v>
      </x:c>
      <x:c r="E205" s="21" t="str">
        <x:v>TR-A</x:v>
      </x:c>
      <x:c r="F205" s="21" t="n">
        <x:v>9</x:v>
      </x:c>
      <x:c r="G205" s="21" t="str">
        <x:v>dynamic hold-up</x:v>
      </x:c>
      <x:c r="H205" s="21" t="str">
        <x:v>OPEN</x:v>
      </x:c>
      <x:c r="I205" s="21" t="str"/>
      <x:c r="J205" s="21" t="str"/>
    </x:row>
    <x:row r="206">
      <x:c r="A206" s="21" t="str">
        <x:v>QE03-C09-E10</x:v>
      </x:c>
      <x:c r="B206" s="21" t="str">
        <x:v>QE03-C09</x:v>
      </x:c>
      <x:c r="C206" s="21" t="str">
        <x:v>RFP-C1</x:v>
      </x:c>
      <x:c r="D206" s="21" t="str">
        <x:v>PTC-C</x:v>
      </x:c>
      <x:c r="E206" s="21" t="str">
        <x:v>TR-A</x:v>
      </x:c>
      <x:c r="F206" s="21" t="n">
        <x:v>10</x:v>
      </x:c>
      <x:c r="G206" s="21" t="str">
        <x:v>pressure transient</x:v>
      </x:c>
      <x:c r="H206" s="21" t="str">
        <x:v>OPEN</x:v>
      </x:c>
      <x:c r="I206" s="21" t="str"/>
      <x:c r="J206" s="21" t="str"/>
    </x:row>
    <x:row r="207">
      <x:c r="A207" s="21" t="str">
        <x:v>QE03-C09-E11</x:v>
      </x:c>
      <x:c r="B207" s="21" t="str">
        <x:v>QE03-C09</x:v>
      </x:c>
      <x:c r="C207" s="21" t="str">
        <x:v>RFP-C1</x:v>
      </x:c>
      <x:c r="D207" s="21" t="str">
        <x:v>PTC-C</x:v>
      </x:c>
      <x:c r="E207" s="21" t="str">
        <x:v>TR-A</x:v>
      </x:c>
      <x:c r="F207" s="21" t="n">
        <x:v>11</x:v>
      </x:c>
      <x:c r="G207" s="21" t="str">
        <x:v>safeing elements and paths</x:v>
      </x:c>
      <x:c r="H207" s="21" t="str">
        <x:v>OPEN</x:v>
      </x:c>
      <x:c r="I207" s="21" t="str"/>
      <x:c r="J207" s="21" t="str"/>
    </x:row>
    <x:row r="208">
      <x:c r="A208" s="21" t="str">
        <x:v>QE03-C09-E12</x:v>
      </x:c>
      <x:c r="B208" s="21" t="str">
        <x:v>QE03-C09</x:v>
      </x:c>
      <x:c r="C208" s="21" t="str">
        <x:v>RFP-C1</x:v>
      </x:c>
      <x:c r="D208" s="21" t="str">
        <x:v>PTC-C</x:v>
      </x:c>
      <x:c r="E208" s="21" t="str">
        <x:v>TR-A</x:v>
      </x:c>
      <x:c r="F208" s="21" t="n">
        <x:v>12</x:v>
      </x:c>
      <x:c r="G208" s="21" t="str">
        <x:v>casualty custody</x:v>
      </x:c>
      <x:c r="H208" s="21" t="str">
        <x:v>OPEN</x:v>
      </x:c>
      <x:c r="I208" s="21" t="str"/>
      <x:c r="J208" s="21" t="str"/>
    </x:row>
    <x:row r="209">
      <x:c r="A209" s="21" t="str">
        <x:v>QE03-C09-E13</x:v>
      </x:c>
      <x:c r="B209" s="21" t="str">
        <x:v>QE03-C09</x:v>
      </x:c>
      <x:c r="C209" s="21" t="str">
        <x:v>RFP-C1</x:v>
      </x:c>
      <x:c r="D209" s="21" t="str">
        <x:v>PTC-C</x:v>
      </x:c>
      <x:c r="E209" s="21" t="str">
        <x:v>TR-A</x:v>
      </x:c>
      <x:c r="F209" s="21" t="n">
        <x:v>13</x:v>
      </x:c>
      <x:c r="G209" s="21" t="str">
        <x:v>environmental background</x:v>
      </x:c>
      <x:c r="H209" s="21" t="str">
        <x:v>OPEN</x:v>
      </x:c>
      <x:c r="I209" s="21" t="str"/>
      <x:c r="J209" s="21" t="str"/>
    </x:row>
    <x:row r="210">
      <x:c r="A210" s="21" t="str">
        <x:v>QE03-C09-E14</x:v>
      </x:c>
      <x:c r="B210" s="21" t="str">
        <x:v>QE03-C09</x:v>
      </x:c>
      <x:c r="C210" s="21" t="str">
        <x:v>RFP-C1</x:v>
      </x:c>
      <x:c r="D210" s="21" t="str">
        <x:v>PTC-C</x:v>
      </x:c>
      <x:c r="E210" s="21" t="str">
        <x:v>TR-A</x:v>
      </x:c>
      <x:c r="F210" s="21" t="n">
        <x:v>14</x:v>
      </x:c>
      <x:c r="G210" s="21" t="str">
        <x:v>observed zero method water</x:v>
      </x:c>
      <x:c r="H210" s="21" t="str">
        <x:v>OPEN</x:v>
      </x:c>
      <x:c r="I210" s="21" t="str"/>
      <x:c r="J210" s="21" t="str"/>
    </x:row>
    <x:row r="211">
      <x:c r="A211" s="21" t="str">
        <x:v>QE03-C09-E15</x:v>
      </x:c>
      <x:c r="B211" s="21" t="str">
        <x:v>QE03-C09</x:v>
      </x:c>
      <x:c r="C211" s="21" t="str">
        <x:v>RFP-C1</x:v>
      </x:c>
      <x:c r="D211" s="21" t="str">
        <x:v>PTC-C</x:v>
      </x:c>
      <x:c r="E211" s="21" t="str">
        <x:v>TR-A</x:v>
      </x:c>
      <x:c r="F211" s="21" t="n">
        <x:v>15</x:v>
      </x:c>
      <x:c r="G211" s="21" t="str">
        <x:v>evidence capacity</x:v>
      </x:c>
      <x:c r="H211" s="21" t="str">
        <x:v>OPEN</x:v>
      </x:c>
      <x:c r="I211" s="21" t="str"/>
      <x:c r="J211" s="21" t="str"/>
    </x:row>
    <x:row r="212">
      <x:c r="A212" s="21" t="str">
        <x:v>QE03-C09-E16</x:v>
      </x:c>
      <x:c r="B212" s="21" t="str">
        <x:v>QE03-C09</x:v>
      </x:c>
      <x:c r="C212" s="21" t="str">
        <x:v>RFP-C1</x:v>
      </x:c>
      <x:c r="D212" s="21" t="str">
        <x:v>PTC-C</x:v>
      </x:c>
      <x:c r="E212" s="21" t="str">
        <x:v>TR-A</x:v>
      </x:c>
      <x:c r="F212" s="21" t="n">
        <x:v>16</x:v>
      </x:c>
      <x:c r="G212" s="21" t="str">
        <x:v>causal time</x:v>
      </x:c>
      <x:c r="H212" s="21" t="str">
        <x:v>OPEN</x:v>
      </x:c>
      <x:c r="I212" s="21" t="str"/>
      <x:c r="J212" s="21" t="str"/>
    </x:row>
    <x:row r="213">
      <x:c r="A213" s="21" t="str">
        <x:v>QE03-C09-E17</x:v>
      </x:c>
      <x:c r="B213" s="21" t="str">
        <x:v>QE03-C09</x:v>
      </x:c>
      <x:c r="C213" s="21" t="str">
        <x:v>RFP-C1</x:v>
      </x:c>
      <x:c r="D213" s="21" t="str">
        <x:v>PTC-C</x:v>
      </x:c>
      <x:c r="E213" s="21" t="str">
        <x:v>TR-A</x:v>
      </x:c>
      <x:c r="F213" s="21" t="n">
        <x:v>17</x:v>
      </x:c>
      <x:c r="G213" s="21" t="str">
        <x:v>incoming source-exposed baseline</x:v>
      </x:c>
      <x:c r="H213" s="21" t="str">
        <x:v>OPEN</x:v>
      </x:c>
      <x:c r="I213" s="21" t="str"/>
      <x:c r="J213" s="21" t="str"/>
    </x:row>
    <x:row r="214">
      <x:c r="A214" s="21" t="str">
        <x:v>QE03-C09-E18</x:v>
      </x:c>
      <x:c r="B214" s="21" t="str">
        <x:v>QE03-C09</x:v>
      </x:c>
      <x:c r="C214" s="21" t="str">
        <x:v>RFP-C1</x:v>
      </x:c>
      <x:c r="D214" s="21" t="str">
        <x:v>PTC-C</x:v>
      </x:c>
      <x:c r="E214" s="21" t="str">
        <x:v>TR-A</x:v>
      </x:c>
      <x:c r="F214" s="21" t="n">
        <x:v>18</x:v>
      </x:c>
      <x:c r="G214" s="21" t="str">
        <x:v>64-position crew</x:v>
      </x:c>
      <x:c r="H214" s="21" t="str">
        <x:v>OPEN</x:v>
      </x:c>
      <x:c r="I214" s="21" t="str"/>
      <x:c r="J214" s="21" t="str"/>
    </x:row>
    <x:row r="215">
      <x:c r="A215" s="21" t="str">
        <x:v>QE03-C09-E19</x:v>
      </x:c>
      <x:c r="B215" s="21" t="str">
        <x:v>QE03-C09</x:v>
      </x:c>
      <x:c r="C215" s="21" t="str">
        <x:v>RFP-C1</x:v>
      </x:c>
      <x:c r="D215" s="21" t="str">
        <x:v>PTC-C</x:v>
      </x:c>
      <x:c r="E215" s="21" t="str">
        <x:v>TR-A</x:v>
      </x:c>
      <x:c r="F215" s="21" t="n">
        <x:v>19</x:v>
      </x:c>
      <x:c r="G215" s="21" t="str">
        <x:v>rescue and exclusion</x:v>
      </x:c>
      <x:c r="H215" s="21" t="str">
        <x:v>OPEN</x:v>
      </x:c>
      <x:c r="I215" s="21" t="str"/>
      <x:c r="J215" s="21" t="str"/>
    </x:row>
    <x:row r="216">
      <x:c r="A216" s="21" t="str">
        <x:v>QE03-C09-E20</x:v>
      </x:c>
      <x:c r="B216" s="21" t="str">
        <x:v>QE03-C09</x:v>
      </x:c>
      <x:c r="C216" s="21" t="str">
        <x:v>RFP-C1</x:v>
      </x:c>
      <x:c r="D216" s="21" t="str">
        <x:v>PTC-C</x:v>
      </x:c>
      <x:c r="E216" s="21" t="str">
        <x:v>TR-A</x:v>
      </x:c>
      <x:c r="F216" s="21" t="n">
        <x:v>20</x:v>
      </x:c>
      <x:c r="G216" s="21" t="str">
        <x:v>waste destinations</x:v>
      </x:c>
      <x:c r="H216" s="21" t="str">
        <x:v>OPEN</x:v>
      </x:c>
      <x:c r="I216" s="21" t="str"/>
      <x:c r="J216" s="21" t="str"/>
    </x:row>
    <x:row r="217">
      <x:c r="A217" s="21" t="str">
        <x:v>QE03-C09-E21</x:v>
      </x:c>
      <x:c r="B217" s="21" t="str">
        <x:v>QE03-C09</x:v>
      </x:c>
      <x:c r="C217" s="21" t="str">
        <x:v>RFP-C1</x:v>
      </x:c>
      <x:c r="D217" s="21" t="str">
        <x:v>PTC-C</x:v>
      </x:c>
      <x:c r="E217" s="21" t="str">
        <x:v>TR-A</x:v>
      </x:c>
      <x:c r="F217" s="21" t="n">
        <x:v>21</x:v>
      </x:c>
      <x:c r="G217" s="21" t="str">
        <x:v>outside-origin replay</x:v>
      </x:c>
      <x:c r="H217" s="21" t="str">
        <x:v>OPEN</x:v>
      </x:c>
      <x:c r="I217" s="21" t="str"/>
      <x:c r="J217" s="21" t="str"/>
    </x:row>
    <x:row r="218">
      <x:c r="A218" s="21" t="str">
        <x:v>QE03-C09-E22</x:v>
      </x:c>
      <x:c r="B218" s="21" t="str">
        <x:v>QE03-C09</x:v>
      </x:c>
      <x:c r="C218" s="21" t="str">
        <x:v>RFP-C1</x:v>
      </x:c>
      <x:c r="D218" s="21" t="str">
        <x:v>PTC-C</x:v>
      </x:c>
      <x:c r="E218" s="21" t="str">
        <x:v>TR-A</x:v>
      </x:c>
      <x:c r="F218" s="21" t="n">
        <x:v>22</x:v>
      </x:c>
      <x:c r="G218" s="21" t="str">
        <x:v>neighbor state</x:v>
      </x:c>
      <x:c r="H218" s="21" t="str">
        <x:v>OPEN</x:v>
      </x:c>
      <x:c r="I218" s="21" t="str"/>
      <x:c r="J218" s="21" t="str"/>
    </x:row>
    <x:row r="219">
      <x:c r="A219" s="21" t="str">
        <x:v>QE03-C09-E23</x:v>
      </x:c>
      <x:c r="B219" s="21" t="str">
        <x:v>QE03-C09</x:v>
      </x:c>
      <x:c r="C219" s="21" t="str">
        <x:v>RFP-C1</x:v>
      </x:c>
      <x:c r="D219" s="21" t="str">
        <x:v>PTC-C</x:v>
      </x:c>
      <x:c r="E219" s="21" t="str">
        <x:v>TR-A</x:v>
      </x:c>
      <x:c r="F219" s="21" t="n">
        <x:v>23</x:v>
      </x:c>
      <x:c r="G219" s="21" t="str">
        <x:v>change freeze</x:v>
      </x:c>
      <x:c r="H219" s="21" t="str">
        <x:v>OPEN</x:v>
      </x:c>
      <x:c r="I219" s="21" t="str"/>
      <x:c r="J219" s="21" t="str"/>
    </x:row>
    <x:row r="220">
      <x:c r="A220" s="21" t="str">
        <x:v>QE03-C09-E24</x:v>
      </x:c>
      <x:c r="B220" s="21" t="str">
        <x:v>QE03-C09</x:v>
      </x:c>
      <x:c r="C220" s="21" t="str">
        <x:v>RFP-C1</x:v>
      </x:c>
      <x:c r="D220" s="21" t="str">
        <x:v>PTC-C</x:v>
      </x:c>
      <x:c r="E220" s="21" t="str">
        <x:v>TR-A</x:v>
      </x:c>
      <x:c r="F220" s="21" t="n">
        <x:v>24</x:v>
      </x:c>
      <x:c r="G220" s="21" t="str">
        <x:v>issue concurrence</x:v>
      </x:c>
      <x:c r="H220" s="21" t="str">
        <x:v>OPEN</x:v>
      </x:c>
      <x:c r="I220" s="21" t="str"/>
      <x:c r="J220" s="21" t="str"/>
    </x:row>
    <x:row r="221">
      <x:c r="A221" s="21" t="str">
        <x:v>QE03-C10-E01</x:v>
      </x:c>
      <x:c r="B221" s="21" t="str">
        <x:v>QE03-C10</x:v>
      </x:c>
      <x:c r="C221" s="21" t="str">
        <x:v>RFP-C1</x:v>
      </x:c>
      <x:c r="D221" s="21" t="str">
        <x:v>PTC-C</x:v>
      </x:c>
      <x:c r="E221" s="21" t="str">
        <x:v>TR-B</x:v>
      </x:c>
      <x:c r="F221" s="21" t="n">
        <x:v>1</x:v>
      </x:c>
      <x:c r="G221" s="21" t="str">
        <x:v>RBB-1 source transfer</x:v>
      </x:c>
      <x:c r="H221" s="21" t="str">
        <x:v>OPEN</x:v>
      </x:c>
      <x:c r="I221" s="21" t="str"/>
      <x:c r="J221" s="21" t="str"/>
    </x:row>
    <x:row r="222">
      <x:c r="A222" s="21" t="str">
        <x:v>QE03-C10-E02</x:v>
      </x:c>
      <x:c r="B222" s="21" t="str">
        <x:v>QE03-C10</x:v>
      </x:c>
      <x:c r="C222" s="21" t="str">
        <x:v>RFP-C1</x:v>
      </x:c>
      <x:c r="D222" s="21" t="str">
        <x:v>PTC-C</x:v>
      </x:c>
      <x:c r="E222" s="21" t="str">
        <x:v>TR-B</x:v>
      </x:c>
      <x:c r="F222" s="21" t="n">
        <x:v>2</x:v>
      </x:c>
      <x:c r="G222" s="21" t="str">
        <x:v>article current</x:v>
      </x:c>
      <x:c r="H222" s="21" t="str">
        <x:v>OPEN</x:v>
      </x:c>
      <x:c r="I222" s="21" t="str"/>
      <x:c r="J222" s="21" t="str"/>
    </x:row>
    <x:row r="223">
      <x:c r="A223" s="21" t="str">
        <x:v>QE03-C10-E03</x:v>
      </x:c>
      <x:c r="B223" s="21" t="str">
        <x:v>QE03-C10</x:v>
      </x:c>
      <x:c r="C223" s="21" t="str">
        <x:v>RFP-C1</x:v>
      </x:c>
      <x:c r="D223" s="21" t="str">
        <x:v>PTC-C</x:v>
      </x:c>
      <x:c r="E223" s="21" t="str">
        <x:v>TR-B</x:v>
      </x:c>
      <x:c r="F223" s="21" t="n">
        <x:v>3</x:v>
      </x:c>
      <x:c r="G223" s="21" t="str">
        <x:v>rate trials</x:v>
      </x:c>
      <x:c r="H223" s="21" t="str">
        <x:v>OPEN</x:v>
      </x:c>
      <x:c r="I223" s="21" t="str"/>
      <x:c r="J223" s="21" t="str"/>
    </x:row>
    <x:row r="224">
      <x:c r="A224" s="21" t="str">
        <x:v>QE03-C10-E04</x:v>
      </x:c>
      <x:c r="B224" s="21" t="str">
        <x:v>QE03-C10</x:v>
      </x:c>
      <x:c r="C224" s="21" t="str">
        <x:v>RFP-C1</x:v>
      </x:c>
      <x:c r="D224" s="21" t="str">
        <x:v>PTC-C</x:v>
      </x:c>
      <x:c r="E224" s="21" t="str">
        <x:v>TR-B</x:v>
      </x:c>
      <x:c r="F224" s="21" t="n">
        <x:v>4</x:v>
      </x:c>
      <x:c r="G224" s="21" t="str">
        <x:v>conversion assembly</x:v>
      </x:c>
      <x:c r="H224" s="21" t="str">
        <x:v>OPEN</x:v>
      </x:c>
      <x:c r="I224" s="21" t="str"/>
      <x:c r="J224" s="21" t="str"/>
    </x:row>
    <x:row r="225">
      <x:c r="A225" s="21" t="str">
        <x:v>QE03-C10-E05</x:v>
      </x:c>
      <x:c r="B225" s="21" t="str">
        <x:v>QE03-C10</x:v>
      </x:c>
      <x:c r="C225" s="21" t="str">
        <x:v>RFP-C1</x:v>
      </x:c>
      <x:c r="D225" s="21" t="str">
        <x:v>PTC-C</x:v>
      </x:c>
      <x:c r="E225" s="21" t="str">
        <x:v>TR-B</x:v>
      </x:c>
      <x:c r="F225" s="21" t="n">
        <x:v>5</x:v>
      </x:c>
      <x:c r="G225" s="21" t="str">
        <x:v>receiver capacity</x:v>
      </x:c>
      <x:c r="H225" s="21" t="str">
        <x:v>OPEN</x:v>
      </x:c>
      <x:c r="I225" s="21" t="str"/>
      <x:c r="J225" s="21" t="str"/>
    </x:row>
    <x:row r="226">
      <x:c r="A226" s="21" t="str">
        <x:v>QE03-C10-E06</x:v>
      </x:c>
      <x:c r="B226" s="21" t="str">
        <x:v>QE03-C10</x:v>
      </x:c>
      <x:c r="C226" s="21" t="str">
        <x:v>RFP-C1</x:v>
      </x:c>
      <x:c r="D226" s="21" t="str">
        <x:v>PTC-C</x:v>
      </x:c>
      <x:c r="E226" s="21" t="str">
        <x:v>TR-B</x:v>
      </x:c>
      <x:c r="F226" s="21" t="n">
        <x:v>6</x:v>
      </x:c>
      <x:c r="G226" s="21" t="str">
        <x:v>package accepted</x:v>
      </x:c>
      <x:c r="H226" s="21" t="str">
        <x:v>OPEN</x:v>
      </x:c>
      <x:c r="I226" s="21" t="str"/>
      <x:c r="J226" s="21" t="str"/>
    </x:row>
    <x:row r="227">
      <x:c r="A227" s="21" t="str">
        <x:v>QE03-C10-E07</x:v>
      </x:c>
      <x:c r="B227" s="21" t="str">
        <x:v>QE03-C10</x:v>
      </x:c>
      <x:c r="C227" s="21" t="str">
        <x:v>RFP-C1</x:v>
      </x:c>
      <x:c r="D227" s="21" t="str">
        <x:v>PTC-C</x:v>
      </x:c>
      <x:c r="E227" s="21" t="str">
        <x:v>TR-B</x:v>
      </x:c>
      <x:c r="F227" s="21" t="n">
        <x:v>7</x:v>
      </x:c>
      <x:c r="G227" s="21" t="str">
        <x:v>package characteristics</x:v>
      </x:c>
      <x:c r="H227" s="21" t="str">
        <x:v>OPEN</x:v>
      </x:c>
      <x:c r="I227" s="21" t="str"/>
      <x:c r="J227" s="21" t="str"/>
    </x:row>
    <x:row r="228">
      <x:c r="A228" s="21" t="str">
        <x:v>QE03-C10-E08</x:v>
      </x:c>
      <x:c r="B228" s="21" t="str">
        <x:v>QE03-C10</x:v>
      </x:c>
      <x:c r="C228" s="21" t="str">
        <x:v>RFP-C1</x:v>
      </x:c>
      <x:c r="D228" s="21" t="str">
        <x:v>PTC-C</x:v>
      </x:c>
      <x:c r="E228" s="21" t="str">
        <x:v>TR-B</x:v>
      </x:c>
      <x:c r="F228" s="21" t="n">
        <x:v>8</x:v>
      </x:c>
      <x:c r="G228" s="21" t="str">
        <x:v>source metrology</x:v>
      </x:c>
      <x:c r="H228" s="21" t="str">
        <x:v>OPEN</x:v>
      </x:c>
      <x:c r="I228" s="21" t="str"/>
      <x:c r="J228" s="21" t="str"/>
    </x:row>
    <x:row r="229">
      <x:c r="A229" s="21" t="str">
        <x:v>QE03-C10-E09</x:v>
      </x:c>
      <x:c r="B229" s="21" t="str">
        <x:v>QE03-C10</x:v>
      </x:c>
      <x:c r="C229" s="21" t="str">
        <x:v>RFP-C1</x:v>
      </x:c>
      <x:c r="D229" s="21" t="str">
        <x:v>PTC-C</x:v>
      </x:c>
      <x:c r="E229" s="21" t="str">
        <x:v>TR-B</x:v>
      </x:c>
      <x:c r="F229" s="21" t="n">
        <x:v>9</x:v>
      </x:c>
      <x:c r="G229" s="21" t="str">
        <x:v>dynamic hold-up</x:v>
      </x:c>
      <x:c r="H229" s="21" t="str">
        <x:v>OPEN</x:v>
      </x:c>
      <x:c r="I229" s="21" t="str"/>
      <x:c r="J229" s="21" t="str"/>
    </x:row>
    <x:row r="230">
      <x:c r="A230" s="21" t="str">
        <x:v>QE03-C10-E10</x:v>
      </x:c>
      <x:c r="B230" s="21" t="str">
        <x:v>QE03-C10</x:v>
      </x:c>
      <x:c r="C230" s="21" t="str">
        <x:v>RFP-C1</x:v>
      </x:c>
      <x:c r="D230" s="21" t="str">
        <x:v>PTC-C</x:v>
      </x:c>
      <x:c r="E230" s="21" t="str">
        <x:v>TR-B</x:v>
      </x:c>
      <x:c r="F230" s="21" t="n">
        <x:v>10</x:v>
      </x:c>
      <x:c r="G230" s="21" t="str">
        <x:v>pressure transient</x:v>
      </x:c>
      <x:c r="H230" s="21" t="str">
        <x:v>OPEN</x:v>
      </x:c>
      <x:c r="I230" s="21" t="str"/>
      <x:c r="J230" s="21" t="str"/>
    </x:row>
    <x:row r="231">
      <x:c r="A231" s="21" t="str">
        <x:v>QE03-C10-E11</x:v>
      </x:c>
      <x:c r="B231" s="21" t="str">
        <x:v>QE03-C10</x:v>
      </x:c>
      <x:c r="C231" s="21" t="str">
        <x:v>RFP-C1</x:v>
      </x:c>
      <x:c r="D231" s="21" t="str">
        <x:v>PTC-C</x:v>
      </x:c>
      <x:c r="E231" s="21" t="str">
        <x:v>TR-B</x:v>
      </x:c>
      <x:c r="F231" s="21" t="n">
        <x:v>11</x:v>
      </x:c>
      <x:c r="G231" s="21" t="str">
        <x:v>safeing elements and paths</x:v>
      </x:c>
      <x:c r="H231" s="21" t="str">
        <x:v>OPEN</x:v>
      </x:c>
      <x:c r="I231" s="21" t="str"/>
      <x:c r="J231" s="21" t="str"/>
    </x:row>
    <x:row r="232">
      <x:c r="A232" s="21" t="str">
        <x:v>QE03-C10-E12</x:v>
      </x:c>
      <x:c r="B232" s="21" t="str">
        <x:v>QE03-C10</x:v>
      </x:c>
      <x:c r="C232" s="21" t="str">
        <x:v>RFP-C1</x:v>
      </x:c>
      <x:c r="D232" s="21" t="str">
        <x:v>PTC-C</x:v>
      </x:c>
      <x:c r="E232" s="21" t="str">
        <x:v>TR-B</x:v>
      </x:c>
      <x:c r="F232" s="21" t="n">
        <x:v>12</x:v>
      </x:c>
      <x:c r="G232" s="21" t="str">
        <x:v>casualty custody</x:v>
      </x:c>
      <x:c r="H232" s="21" t="str">
        <x:v>OPEN</x:v>
      </x:c>
      <x:c r="I232" s="21" t="str"/>
      <x:c r="J232" s="21" t="str"/>
    </x:row>
    <x:row r="233">
      <x:c r="A233" s="21" t="str">
        <x:v>QE03-C10-E13</x:v>
      </x:c>
      <x:c r="B233" s="21" t="str">
        <x:v>QE03-C10</x:v>
      </x:c>
      <x:c r="C233" s="21" t="str">
        <x:v>RFP-C1</x:v>
      </x:c>
      <x:c r="D233" s="21" t="str">
        <x:v>PTC-C</x:v>
      </x:c>
      <x:c r="E233" s="21" t="str">
        <x:v>TR-B</x:v>
      </x:c>
      <x:c r="F233" s="21" t="n">
        <x:v>13</x:v>
      </x:c>
      <x:c r="G233" s="21" t="str">
        <x:v>environmental background</x:v>
      </x:c>
      <x:c r="H233" s="21" t="str">
        <x:v>OPEN</x:v>
      </x:c>
      <x:c r="I233" s="21" t="str"/>
      <x:c r="J233" s="21" t="str"/>
    </x:row>
    <x:row r="234">
      <x:c r="A234" s="21" t="str">
        <x:v>QE03-C10-E14</x:v>
      </x:c>
      <x:c r="B234" s="21" t="str">
        <x:v>QE03-C10</x:v>
      </x:c>
      <x:c r="C234" s="21" t="str">
        <x:v>RFP-C1</x:v>
      </x:c>
      <x:c r="D234" s="21" t="str">
        <x:v>PTC-C</x:v>
      </x:c>
      <x:c r="E234" s="21" t="str">
        <x:v>TR-B</x:v>
      </x:c>
      <x:c r="F234" s="21" t="n">
        <x:v>14</x:v>
      </x:c>
      <x:c r="G234" s="21" t="str">
        <x:v>observed zero method water</x:v>
      </x:c>
      <x:c r="H234" s="21" t="str">
        <x:v>OPEN</x:v>
      </x:c>
      <x:c r="I234" s="21" t="str"/>
      <x:c r="J234" s="21" t="str"/>
    </x:row>
    <x:row r="235">
      <x:c r="A235" s="21" t="str">
        <x:v>QE03-C10-E15</x:v>
      </x:c>
      <x:c r="B235" s="21" t="str">
        <x:v>QE03-C10</x:v>
      </x:c>
      <x:c r="C235" s="21" t="str">
        <x:v>RFP-C1</x:v>
      </x:c>
      <x:c r="D235" s="21" t="str">
        <x:v>PTC-C</x:v>
      </x:c>
      <x:c r="E235" s="21" t="str">
        <x:v>TR-B</x:v>
      </x:c>
      <x:c r="F235" s="21" t="n">
        <x:v>15</x:v>
      </x:c>
      <x:c r="G235" s="21" t="str">
        <x:v>evidence capacity</x:v>
      </x:c>
      <x:c r="H235" s="21" t="str">
        <x:v>OPEN</x:v>
      </x:c>
      <x:c r="I235" s="21" t="str"/>
      <x:c r="J235" s="21" t="str"/>
    </x:row>
    <x:row r="236">
      <x:c r="A236" s="21" t="str">
        <x:v>QE03-C10-E16</x:v>
      </x:c>
      <x:c r="B236" s="21" t="str">
        <x:v>QE03-C10</x:v>
      </x:c>
      <x:c r="C236" s="21" t="str">
        <x:v>RFP-C1</x:v>
      </x:c>
      <x:c r="D236" s="21" t="str">
        <x:v>PTC-C</x:v>
      </x:c>
      <x:c r="E236" s="21" t="str">
        <x:v>TR-B</x:v>
      </x:c>
      <x:c r="F236" s="21" t="n">
        <x:v>16</x:v>
      </x:c>
      <x:c r="G236" s="21" t="str">
        <x:v>causal time</x:v>
      </x:c>
      <x:c r="H236" s="21" t="str">
        <x:v>OPEN</x:v>
      </x:c>
      <x:c r="I236" s="21" t="str"/>
      <x:c r="J236" s="21" t="str"/>
    </x:row>
    <x:row r="237">
      <x:c r="A237" s="21" t="str">
        <x:v>QE03-C10-E17</x:v>
      </x:c>
      <x:c r="B237" s="21" t="str">
        <x:v>QE03-C10</x:v>
      </x:c>
      <x:c r="C237" s="21" t="str">
        <x:v>RFP-C1</x:v>
      </x:c>
      <x:c r="D237" s="21" t="str">
        <x:v>PTC-C</x:v>
      </x:c>
      <x:c r="E237" s="21" t="str">
        <x:v>TR-B</x:v>
      </x:c>
      <x:c r="F237" s="21" t="n">
        <x:v>17</x:v>
      </x:c>
      <x:c r="G237" s="21" t="str">
        <x:v>incoming source-exposed baseline</x:v>
      </x:c>
      <x:c r="H237" s="21" t="str">
        <x:v>OPEN</x:v>
      </x:c>
      <x:c r="I237" s="21" t="str"/>
      <x:c r="J237" s="21" t="str"/>
    </x:row>
    <x:row r="238">
      <x:c r="A238" s="21" t="str">
        <x:v>QE03-C10-E18</x:v>
      </x:c>
      <x:c r="B238" s="21" t="str">
        <x:v>QE03-C10</x:v>
      </x:c>
      <x:c r="C238" s="21" t="str">
        <x:v>RFP-C1</x:v>
      </x:c>
      <x:c r="D238" s="21" t="str">
        <x:v>PTC-C</x:v>
      </x:c>
      <x:c r="E238" s="21" t="str">
        <x:v>TR-B</x:v>
      </x:c>
      <x:c r="F238" s="21" t="n">
        <x:v>18</x:v>
      </x:c>
      <x:c r="G238" s="21" t="str">
        <x:v>64-position crew</x:v>
      </x:c>
      <x:c r="H238" s="21" t="str">
        <x:v>OPEN</x:v>
      </x:c>
      <x:c r="I238" s="21" t="str"/>
      <x:c r="J238" s="21" t="str"/>
    </x:row>
    <x:row r="239">
      <x:c r="A239" s="21" t="str">
        <x:v>QE03-C10-E19</x:v>
      </x:c>
      <x:c r="B239" s="21" t="str">
        <x:v>QE03-C10</x:v>
      </x:c>
      <x:c r="C239" s="21" t="str">
        <x:v>RFP-C1</x:v>
      </x:c>
      <x:c r="D239" s="21" t="str">
        <x:v>PTC-C</x:v>
      </x:c>
      <x:c r="E239" s="21" t="str">
        <x:v>TR-B</x:v>
      </x:c>
      <x:c r="F239" s="21" t="n">
        <x:v>19</x:v>
      </x:c>
      <x:c r="G239" s="21" t="str">
        <x:v>rescue and exclusion</x:v>
      </x:c>
      <x:c r="H239" s="21" t="str">
        <x:v>OPEN</x:v>
      </x:c>
      <x:c r="I239" s="21" t="str"/>
      <x:c r="J239" s="21" t="str"/>
    </x:row>
    <x:row r="240">
      <x:c r="A240" s="21" t="str">
        <x:v>QE03-C10-E20</x:v>
      </x:c>
      <x:c r="B240" s="21" t="str">
        <x:v>QE03-C10</x:v>
      </x:c>
      <x:c r="C240" s="21" t="str">
        <x:v>RFP-C1</x:v>
      </x:c>
      <x:c r="D240" s="21" t="str">
        <x:v>PTC-C</x:v>
      </x:c>
      <x:c r="E240" s="21" t="str">
        <x:v>TR-B</x:v>
      </x:c>
      <x:c r="F240" s="21" t="n">
        <x:v>20</x:v>
      </x:c>
      <x:c r="G240" s="21" t="str">
        <x:v>waste destinations</x:v>
      </x:c>
      <x:c r="H240" s="21" t="str">
        <x:v>OPEN</x:v>
      </x:c>
      <x:c r="I240" s="21" t="str"/>
      <x:c r="J240" s="21" t="str"/>
    </x:row>
    <x:row r="241">
      <x:c r="A241" s="21" t="str">
        <x:v>QE03-C10-E21</x:v>
      </x:c>
      <x:c r="B241" s="21" t="str">
        <x:v>QE03-C10</x:v>
      </x:c>
      <x:c r="C241" s="21" t="str">
        <x:v>RFP-C1</x:v>
      </x:c>
      <x:c r="D241" s="21" t="str">
        <x:v>PTC-C</x:v>
      </x:c>
      <x:c r="E241" s="21" t="str">
        <x:v>TR-B</x:v>
      </x:c>
      <x:c r="F241" s="21" t="n">
        <x:v>21</x:v>
      </x:c>
      <x:c r="G241" s="21" t="str">
        <x:v>outside-origin replay</x:v>
      </x:c>
      <x:c r="H241" s="21" t="str">
        <x:v>OPEN</x:v>
      </x:c>
      <x:c r="I241" s="21" t="str"/>
      <x:c r="J241" s="21" t="str"/>
    </x:row>
    <x:row r="242">
      <x:c r="A242" s="21" t="str">
        <x:v>QE03-C10-E22</x:v>
      </x:c>
      <x:c r="B242" s="21" t="str">
        <x:v>QE03-C10</x:v>
      </x:c>
      <x:c r="C242" s="21" t="str">
        <x:v>RFP-C1</x:v>
      </x:c>
      <x:c r="D242" s="21" t="str">
        <x:v>PTC-C</x:v>
      </x:c>
      <x:c r="E242" s="21" t="str">
        <x:v>TR-B</x:v>
      </x:c>
      <x:c r="F242" s="21" t="n">
        <x:v>22</x:v>
      </x:c>
      <x:c r="G242" s="21" t="str">
        <x:v>neighbor state</x:v>
      </x:c>
      <x:c r="H242" s="21" t="str">
        <x:v>OPEN</x:v>
      </x:c>
      <x:c r="I242" s="21" t="str"/>
      <x:c r="J242" s="21" t="str"/>
    </x:row>
    <x:row r="243">
      <x:c r="A243" s="21" t="str">
        <x:v>QE03-C10-E23</x:v>
      </x:c>
      <x:c r="B243" s="21" t="str">
        <x:v>QE03-C10</x:v>
      </x:c>
      <x:c r="C243" s="21" t="str">
        <x:v>RFP-C1</x:v>
      </x:c>
      <x:c r="D243" s="21" t="str">
        <x:v>PTC-C</x:v>
      </x:c>
      <x:c r="E243" s="21" t="str">
        <x:v>TR-B</x:v>
      </x:c>
      <x:c r="F243" s="21" t="n">
        <x:v>23</x:v>
      </x:c>
      <x:c r="G243" s="21" t="str">
        <x:v>change freeze</x:v>
      </x:c>
      <x:c r="H243" s="21" t="str">
        <x:v>OPEN</x:v>
      </x:c>
      <x:c r="I243" s="21" t="str"/>
      <x:c r="J243" s="21" t="str"/>
    </x:row>
    <x:row r="244">
      <x:c r="A244" s="21" t="str">
        <x:v>QE03-C10-E24</x:v>
      </x:c>
      <x:c r="B244" s="21" t="str">
        <x:v>QE03-C10</x:v>
      </x:c>
      <x:c r="C244" s="21" t="str">
        <x:v>RFP-C1</x:v>
      </x:c>
      <x:c r="D244" s="21" t="str">
        <x:v>PTC-C</x:v>
      </x:c>
      <x:c r="E244" s="21" t="str">
        <x:v>TR-B</x:v>
      </x:c>
      <x:c r="F244" s="21" t="n">
        <x:v>24</x:v>
      </x:c>
      <x:c r="G244" s="21" t="str">
        <x:v>issue concurrence</x:v>
      </x:c>
      <x:c r="H244" s="21" t="str">
        <x:v>OPEN</x:v>
      </x:c>
      <x:c r="I244" s="21" t="str"/>
      <x:c r="J244" s="21" t="str"/>
    </x:row>
    <x:row r="245">
      <x:c r="A245" s="21" t="str">
        <x:v>QE03-C11-E01</x:v>
      </x:c>
      <x:c r="B245" s="21" t="str">
        <x:v>QE03-C11</x:v>
      </x:c>
      <x:c r="C245" s="21" t="str">
        <x:v>RFP-C2</x:v>
      </x:c>
      <x:c r="D245" s="21" t="str">
        <x:v>PTC-C</x:v>
      </x:c>
      <x:c r="E245" s="21" t="str">
        <x:v>TR-A</x:v>
      </x:c>
      <x:c r="F245" s="21" t="n">
        <x:v>1</x:v>
      </x:c>
      <x:c r="G245" s="21" t="str">
        <x:v>RBB-1 source transfer</x:v>
      </x:c>
      <x:c r="H245" s="21" t="str">
        <x:v>OPEN</x:v>
      </x:c>
      <x:c r="I245" s="21" t="str"/>
      <x:c r="J245" s="21" t="str"/>
    </x:row>
    <x:row r="246">
      <x:c r="A246" s="21" t="str">
        <x:v>QE03-C11-E02</x:v>
      </x:c>
      <x:c r="B246" s="21" t="str">
        <x:v>QE03-C11</x:v>
      </x:c>
      <x:c r="C246" s="21" t="str">
        <x:v>RFP-C2</x:v>
      </x:c>
      <x:c r="D246" s="21" t="str">
        <x:v>PTC-C</x:v>
      </x:c>
      <x:c r="E246" s="21" t="str">
        <x:v>TR-A</x:v>
      </x:c>
      <x:c r="F246" s="21" t="n">
        <x:v>2</x:v>
      </x:c>
      <x:c r="G246" s="21" t="str">
        <x:v>article current</x:v>
      </x:c>
      <x:c r="H246" s="21" t="str">
        <x:v>OPEN</x:v>
      </x:c>
      <x:c r="I246" s="21" t="str"/>
      <x:c r="J246" s="21" t="str"/>
    </x:row>
    <x:row r="247">
      <x:c r="A247" s="21" t="str">
        <x:v>QE03-C11-E03</x:v>
      </x:c>
      <x:c r="B247" s="21" t="str">
        <x:v>QE03-C11</x:v>
      </x:c>
      <x:c r="C247" s="21" t="str">
        <x:v>RFP-C2</x:v>
      </x:c>
      <x:c r="D247" s="21" t="str">
        <x:v>PTC-C</x:v>
      </x:c>
      <x:c r="E247" s="21" t="str">
        <x:v>TR-A</x:v>
      </x:c>
      <x:c r="F247" s="21" t="n">
        <x:v>3</x:v>
      </x:c>
      <x:c r="G247" s="21" t="str">
        <x:v>rate trials</x:v>
      </x:c>
      <x:c r="H247" s="21" t="str">
        <x:v>OPEN</x:v>
      </x:c>
      <x:c r="I247" s="21" t="str"/>
      <x:c r="J247" s="21" t="str"/>
    </x:row>
    <x:row r="248">
      <x:c r="A248" s="21" t="str">
        <x:v>QE03-C11-E04</x:v>
      </x:c>
      <x:c r="B248" s="21" t="str">
        <x:v>QE03-C11</x:v>
      </x:c>
      <x:c r="C248" s="21" t="str">
        <x:v>RFP-C2</x:v>
      </x:c>
      <x:c r="D248" s="21" t="str">
        <x:v>PTC-C</x:v>
      </x:c>
      <x:c r="E248" s="21" t="str">
        <x:v>TR-A</x:v>
      </x:c>
      <x:c r="F248" s="21" t="n">
        <x:v>4</x:v>
      </x:c>
      <x:c r="G248" s="21" t="str">
        <x:v>conversion assembly</x:v>
      </x:c>
      <x:c r="H248" s="21" t="str">
        <x:v>OPEN</x:v>
      </x:c>
      <x:c r="I248" s="21" t="str"/>
      <x:c r="J248" s="21" t="str"/>
    </x:row>
    <x:row r="249">
      <x:c r="A249" s="21" t="str">
        <x:v>QE03-C11-E05</x:v>
      </x:c>
      <x:c r="B249" s="21" t="str">
        <x:v>QE03-C11</x:v>
      </x:c>
      <x:c r="C249" s="21" t="str">
        <x:v>RFP-C2</x:v>
      </x:c>
      <x:c r="D249" s="21" t="str">
        <x:v>PTC-C</x:v>
      </x:c>
      <x:c r="E249" s="21" t="str">
        <x:v>TR-A</x:v>
      </x:c>
      <x:c r="F249" s="21" t="n">
        <x:v>5</x:v>
      </x:c>
      <x:c r="G249" s="21" t="str">
        <x:v>receiver capacity</x:v>
      </x:c>
      <x:c r="H249" s="21" t="str">
        <x:v>OPEN</x:v>
      </x:c>
      <x:c r="I249" s="21" t="str"/>
      <x:c r="J249" s="21" t="str"/>
    </x:row>
    <x:row r="250">
      <x:c r="A250" s="21" t="str">
        <x:v>QE03-C11-E06</x:v>
      </x:c>
      <x:c r="B250" s="21" t="str">
        <x:v>QE03-C11</x:v>
      </x:c>
      <x:c r="C250" s="21" t="str">
        <x:v>RFP-C2</x:v>
      </x:c>
      <x:c r="D250" s="21" t="str">
        <x:v>PTC-C</x:v>
      </x:c>
      <x:c r="E250" s="21" t="str">
        <x:v>TR-A</x:v>
      </x:c>
      <x:c r="F250" s="21" t="n">
        <x:v>6</x:v>
      </x:c>
      <x:c r="G250" s="21" t="str">
        <x:v>package accepted</x:v>
      </x:c>
      <x:c r="H250" s="21" t="str">
        <x:v>OPEN</x:v>
      </x:c>
      <x:c r="I250" s="21" t="str"/>
      <x:c r="J250" s="21" t="str"/>
    </x:row>
    <x:row r="251">
      <x:c r="A251" s="21" t="str">
        <x:v>QE03-C11-E07</x:v>
      </x:c>
      <x:c r="B251" s="21" t="str">
        <x:v>QE03-C11</x:v>
      </x:c>
      <x:c r="C251" s="21" t="str">
        <x:v>RFP-C2</x:v>
      </x:c>
      <x:c r="D251" s="21" t="str">
        <x:v>PTC-C</x:v>
      </x:c>
      <x:c r="E251" s="21" t="str">
        <x:v>TR-A</x:v>
      </x:c>
      <x:c r="F251" s="21" t="n">
        <x:v>7</x:v>
      </x:c>
      <x:c r="G251" s="21" t="str">
        <x:v>package characteristics</x:v>
      </x:c>
      <x:c r="H251" s="21" t="str">
        <x:v>OPEN</x:v>
      </x:c>
      <x:c r="I251" s="21" t="str"/>
      <x:c r="J251" s="21" t="str"/>
    </x:row>
    <x:row r="252">
      <x:c r="A252" s="21" t="str">
        <x:v>QE03-C11-E08</x:v>
      </x:c>
      <x:c r="B252" s="21" t="str">
        <x:v>QE03-C11</x:v>
      </x:c>
      <x:c r="C252" s="21" t="str">
        <x:v>RFP-C2</x:v>
      </x:c>
      <x:c r="D252" s="21" t="str">
        <x:v>PTC-C</x:v>
      </x:c>
      <x:c r="E252" s="21" t="str">
        <x:v>TR-A</x:v>
      </x:c>
      <x:c r="F252" s="21" t="n">
        <x:v>8</x:v>
      </x:c>
      <x:c r="G252" s="21" t="str">
        <x:v>source metrology</x:v>
      </x:c>
      <x:c r="H252" s="21" t="str">
        <x:v>OPEN</x:v>
      </x:c>
      <x:c r="I252" s="21" t="str"/>
      <x:c r="J252" s="21" t="str"/>
    </x:row>
    <x:row r="253">
      <x:c r="A253" s="21" t="str">
        <x:v>QE03-C11-E09</x:v>
      </x:c>
      <x:c r="B253" s="21" t="str">
        <x:v>QE03-C11</x:v>
      </x:c>
      <x:c r="C253" s="21" t="str">
        <x:v>RFP-C2</x:v>
      </x:c>
      <x:c r="D253" s="21" t="str">
        <x:v>PTC-C</x:v>
      </x:c>
      <x:c r="E253" s="21" t="str">
        <x:v>TR-A</x:v>
      </x:c>
      <x:c r="F253" s="21" t="n">
        <x:v>9</x:v>
      </x:c>
      <x:c r="G253" s="21" t="str">
        <x:v>dynamic hold-up</x:v>
      </x:c>
      <x:c r="H253" s="21" t="str">
        <x:v>OPEN</x:v>
      </x:c>
      <x:c r="I253" s="21" t="str"/>
      <x:c r="J253" s="21" t="str"/>
    </x:row>
    <x:row r="254">
      <x:c r="A254" s="21" t="str">
        <x:v>QE03-C11-E10</x:v>
      </x:c>
      <x:c r="B254" s="21" t="str">
        <x:v>QE03-C11</x:v>
      </x:c>
      <x:c r="C254" s="21" t="str">
        <x:v>RFP-C2</x:v>
      </x:c>
      <x:c r="D254" s="21" t="str">
        <x:v>PTC-C</x:v>
      </x:c>
      <x:c r="E254" s="21" t="str">
        <x:v>TR-A</x:v>
      </x:c>
      <x:c r="F254" s="21" t="n">
        <x:v>10</x:v>
      </x:c>
      <x:c r="G254" s="21" t="str">
        <x:v>pressure transient</x:v>
      </x:c>
      <x:c r="H254" s="21" t="str">
        <x:v>OPEN</x:v>
      </x:c>
      <x:c r="I254" s="21" t="str"/>
      <x:c r="J254" s="21" t="str"/>
    </x:row>
    <x:row r="255">
      <x:c r="A255" s="21" t="str">
        <x:v>QE03-C11-E11</x:v>
      </x:c>
      <x:c r="B255" s="21" t="str">
        <x:v>QE03-C11</x:v>
      </x:c>
      <x:c r="C255" s="21" t="str">
        <x:v>RFP-C2</x:v>
      </x:c>
      <x:c r="D255" s="21" t="str">
        <x:v>PTC-C</x:v>
      </x:c>
      <x:c r="E255" s="21" t="str">
        <x:v>TR-A</x:v>
      </x:c>
      <x:c r="F255" s="21" t="n">
        <x:v>11</x:v>
      </x:c>
      <x:c r="G255" s="21" t="str">
        <x:v>safeing elements and paths</x:v>
      </x:c>
      <x:c r="H255" s="21" t="str">
        <x:v>OPEN</x:v>
      </x:c>
      <x:c r="I255" s="21" t="str"/>
      <x:c r="J255" s="21" t="str"/>
    </x:row>
    <x:row r="256">
      <x:c r="A256" s="21" t="str">
        <x:v>QE03-C11-E12</x:v>
      </x:c>
      <x:c r="B256" s="21" t="str">
        <x:v>QE03-C11</x:v>
      </x:c>
      <x:c r="C256" s="21" t="str">
        <x:v>RFP-C2</x:v>
      </x:c>
      <x:c r="D256" s="21" t="str">
        <x:v>PTC-C</x:v>
      </x:c>
      <x:c r="E256" s="21" t="str">
        <x:v>TR-A</x:v>
      </x:c>
      <x:c r="F256" s="21" t="n">
        <x:v>12</x:v>
      </x:c>
      <x:c r="G256" s="21" t="str">
        <x:v>casualty custody</x:v>
      </x:c>
      <x:c r="H256" s="21" t="str">
        <x:v>OPEN</x:v>
      </x:c>
      <x:c r="I256" s="21" t="str"/>
      <x:c r="J256" s="21" t="str"/>
    </x:row>
    <x:row r="257">
      <x:c r="A257" s="21" t="str">
        <x:v>QE03-C11-E13</x:v>
      </x:c>
      <x:c r="B257" s="21" t="str">
        <x:v>QE03-C11</x:v>
      </x:c>
      <x:c r="C257" s="21" t="str">
        <x:v>RFP-C2</x:v>
      </x:c>
      <x:c r="D257" s="21" t="str">
        <x:v>PTC-C</x:v>
      </x:c>
      <x:c r="E257" s="21" t="str">
        <x:v>TR-A</x:v>
      </x:c>
      <x:c r="F257" s="21" t="n">
        <x:v>13</x:v>
      </x:c>
      <x:c r="G257" s="21" t="str">
        <x:v>environmental background</x:v>
      </x:c>
      <x:c r="H257" s="21" t="str">
        <x:v>OPEN</x:v>
      </x:c>
      <x:c r="I257" s="21" t="str"/>
      <x:c r="J257" s="21" t="str"/>
    </x:row>
    <x:row r="258">
      <x:c r="A258" s="21" t="str">
        <x:v>QE03-C11-E14</x:v>
      </x:c>
      <x:c r="B258" s="21" t="str">
        <x:v>QE03-C11</x:v>
      </x:c>
      <x:c r="C258" s="21" t="str">
        <x:v>RFP-C2</x:v>
      </x:c>
      <x:c r="D258" s="21" t="str">
        <x:v>PTC-C</x:v>
      </x:c>
      <x:c r="E258" s="21" t="str">
        <x:v>TR-A</x:v>
      </x:c>
      <x:c r="F258" s="21" t="n">
        <x:v>14</x:v>
      </x:c>
      <x:c r="G258" s="21" t="str">
        <x:v>observed zero method water</x:v>
      </x:c>
      <x:c r="H258" s="21" t="str">
        <x:v>OPEN</x:v>
      </x:c>
      <x:c r="I258" s="21" t="str"/>
      <x:c r="J258" s="21" t="str"/>
    </x:row>
    <x:row r="259">
      <x:c r="A259" s="21" t="str">
        <x:v>QE03-C11-E15</x:v>
      </x:c>
      <x:c r="B259" s="21" t="str">
        <x:v>QE03-C11</x:v>
      </x:c>
      <x:c r="C259" s="21" t="str">
        <x:v>RFP-C2</x:v>
      </x:c>
      <x:c r="D259" s="21" t="str">
        <x:v>PTC-C</x:v>
      </x:c>
      <x:c r="E259" s="21" t="str">
        <x:v>TR-A</x:v>
      </x:c>
      <x:c r="F259" s="21" t="n">
        <x:v>15</x:v>
      </x:c>
      <x:c r="G259" s="21" t="str">
        <x:v>evidence capacity</x:v>
      </x:c>
      <x:c r="H259" s="21" t="str">
        <x:v>OPEN</x:v>
      </x:c>
      <x:c r="I259" s="21" t="str"/>
      <x:c r="J259" s="21" t="str"/>
    </x:row>
    <x:row r="260">
      <x:c r="A260" s="21" t="str">
        <x:v>QE03-C11-E16</x:v>
      </x:c>
      <x:c r="B260" s="21" t="str">
        <x:v>QE03-C11</x:v>
      </x:c>
      <x:c r="C260" s="21" t="str">
        <x:v>RFP-C2</x:v>
      </x:c>
      <x:c r="D260" s="21" t="str">
        <x:v>PTC-C</x:v>
      </x:c>
      <x:c r="E260" s="21" t="str">
        <x:v>TR-A</x:v>
      </x:c>
      <x:c r="F260" s="21" t="n">
        <x:v>16</x:v>
      </x:c>
      <x:c r="G260" s="21" t="str">
        <x:v>causal time</x:v>
      </x:c>
      <x:c r="H260" s="21" t="str">
        <x:v>OPEN</x:v>
      </x:c>
      <x:c r="I260" s="21" t="str"/>
      <x:c r="J260" s="21" t="str"/>
    </x:row>
    <x:row r="261">
      <x:c r="A261" s="21" t="str">
        <x:v>QE03-C11-E17</x:v>
      </x:c>
      <x:c r="B261" s="21" t="str">
        <x:v>QE03-C11</x:v>
      </x:c>
      <x:c r="C261" s="21" t="str">
        <x:v>RFP-C2</x:v>
      </x:c>
      <x:c r="D261" s="21" t="str">
        <x:v>PTC-C</x:v>
      </x:c>
      <x:c r="E261" s="21" t="str">
        <x:v>TR-A</x:v>
      </x:c>
      <x:c r="F261" s="21" t="n">
        <x:v>17</x:v>
      </x:c>
      <x:c r="G261" s="21" t="str">
        <x:v>incoming source-exposed baseline</x:v>
      </x:c>
      <x:c r="H261" s="21" t="str">
        <x:v>OPEN</x:v>
      </x:c>
      <x:c r="I261" s="21" t="str"/>
      <x:c r="J261" s="21" t="str"/>
    </x:row>
    <x:row r="262">
      <x:c r="A262" s="21" t="str">
        <x:v>QE03-C11-E18</x:v>
      </x:c>
      <x:c r="B262" s="21" t="str">
        <x:v>QE03-C11</x:v>
      </x:c>
      <x:c r="C262" s="21" t="str">
        <x:v>RFP-C2</x:v>
      </x:c>
      <x:c r="D262" s="21" t="str">
        <x:v>PTC-C</x:v>
      </x:c>
      <x:c r="E262" s="21" t="str">
        <x:v>TR-A</x:v>
      </x:c>
      <x:c r="F262" s="21" t="n">
        <x:v>18</x:v>
      </x:c>
      <x:c r="G262" s="21" t="str">
        <x:v>64-position crew</x:v>
      </x:c>
      <x:c r="H262" s="21" t="str">
        <x:v>OPEN</x:v>
      </x:c>
      <x:c r="I262" s="21" t="str"/>
      <x:c r="J262" s="21" t="str"/>
    </x:row>
    <x:row r="263">
      <x:c r="A263" s="21" t="str">
        <x:v>QE03-C11-E19</x:v>
      </x:c>
      <x:c r="B263" s="21" t="str">
        <x:v>QE03-C11</x:v>
      </x:c>
      <x:c r="C263" s="21" t="str">
        <x:v>RFP-C2</x:v>
      </x:c>
      <x:c r="D263" s="21" t="str">
        <x:v>PTC-C</x:v>
      </x:c>
      <x:c r="E263" s="21" t="str">
        <x:v>TR-A</x:v>
      </x:c>
      <x:c r="F263" s="21" t="n">
        <x:v>19</x:v>
      </x:c>
      <x:c r="G263" s="21" t="str">
        <x:v>rescue and exclusion</x:v>
      </x:c>
      <x:c r="H263" s="21" t="str">
        <x:v>OPEN</x:v>
      </x:c>
      <x:c r="I263" s="21" t="str"/>
      <x:c r="J263" s="21" t="str"/>
    </x:row>
    <x:row r="264">
      <x:c r="A264" s="21" t="str">
        <x:v>QE03-C11-E20</x:v>
      </x:c>
      <x:c r="B264" s="21" t="str">
        <x:v>QE03-C11</x:v>
      </x:c>
      <x:c r="C264" s="21" t="str">
        <x:v>RFP-C2</x:v>
      </x:c>
      <x:c r="D264" s="21" t="str">
        <x:v>PTC-C</x:v>
      </x:c>
      <x:c r="E264" s="21" t="str">
        <x:v>TR-A</x:v>
      </x:c>
      <x:c r="F264" s="21" t="n">
        <x:v>20</x:v>
      </x:c>
      <x:c r="G264" s="21" t="str">
        <x:v>waste destinations</x:v>
      </x:c>
      <x:c r="H264" s="21" t="str">
        <x:v>OPEN</x:v>
      </x:c>
      <x:c r="I264" s="21" t="str"/>
      <x:c r="J264" s="21" t="str"/>
    </x:row>
    <x:row r="265">
      <x:c r="A265" s="21" t="str">
        <x:v>QE03-C11-E21</x:v>
      </x:c>
      <x:c r="B265" s="21" t="str">
        <x:v>QE03-C11</x:v>
      </x:c>
      <x:c r="C265" s="21" t="str">
        <x:v>RFP-C2</x:v>
      </x:c>
      <x:c r="D265" s="21" t="str">
        <x:v>PTC-C</x:v>
      </x:c>
      <x:c r="E265" s="21" t="str">
        <x:v>TR-A</x:v>
      </x:c>
      <x:c r="F265" s="21" t="n">
        <x:v>21</x:v>
      </x:c>
      <x:c r="G265" s="21" t="str">
        <x:v>outside-origin replay</x:v>
      </x:c>
      <x:c r="H265" s="21" t="str">
        <x:v>OPEN</x:v>
      </x:c>
      <x:c r="I265" s="21" t="str"/>
      <x:c r="J265" s="21" t="str"/>
    </x:row>
    <x:row r="266">
      <x:c r="A266" s="21" t="str">
        <x:v>QE03-C11-E22</x:v>
      </x:c>
      <x:c r="B266" s="21" t="str">
        <x:v>QE03-C11</x:v>
      </x:c>
      <x:c r="C266" s="21" t="str">
        <x:v>RFP-C2</x:v>
      </x:c>
      <x:c r="D266" s="21" t="str">
        <x:v>PTC-C</x:v>
      </x:c>
      <x:c r="E266" s="21" t="str">
        <x:v>TR-A</x:v>
      </x:c>
      <x:c r="F266" s="21" t="n">
        <x:v>22</x:v>
      </x:c>
      <x:c r="G266" s="21" t="str">
        <x:v>neighbor state</x:v>
      </x:c>
      <x:c r="H266" s="21" t="str">
        <x:v>OPEN</x:v>
      </x:c>
      <x:c r="I266" s="21" t="str"/>
      <x:c r="J266" s="21" t="str"/>
    </x:row>
    <x:row r="267">
      <x:c r="A267" s="21" t="str">
        <x:v>QE03-C11-E23</x:v>
      </x:c>
      <x:c r="B267" s="21" t="str">
        <x:v>QE03-C11</x:v>
      </x:c>
      <x:c r="C267" s="21" t="str">
        <x:v>RFP-C2</x:v>
      </x:c>
      <x:c r="D267" s="21" t="str">
        <x:v>PTC-C</x:v>
      </x:c>
      <x:c r="E267" s="21" t="str">
        <x:v>TR-A</x:v>
      </x:c>
      <x:c r="F267" s="21" t="n">
        <x:v>23</x:v>
      </x:c>
      <x:c r="G267" s="21" t="str">
        <x:v>change freeze</x:v>
      </x:c>
      <x:c r="H267" s="21" t="str">
        <x:v>OPEN</x:v>
      </x:c>
      <x:c r="I267" s="21" t="str"/>
      <x:c r="J267" s="21" t="str"/>
    </x:row>
    <x:row r="268">
      <x:c r="A268" s="21" t="str">
        <x:v>QE03-C11-E24</x:v>
      </x:c>
      <x:c r="B268" s="21" t="str">
        <x:v>QE03-C11</x:v>
      </x:c>
      <x:c r="C268" s="21" t="str">
        <x:v>RFP-C2</x:v>
      </x:c>
      <x:c r="D268" s="21" t="str">
        <x:v>PTC-C</x:v>
      </x:c>
      <x:c r="E268" s="21" t="str">
        <x:v>TR-A</x:v>
      </x:c>
      <x:c r="F268" s="21" t="n">
        <x:v>24</x:v>
      </x:c>
      <x:c r="G268" s="21" t="str">
        <x:v>issue concurrence</x:v>
      </x:c>
      <x:c r="H268" s="21" t="str">
        <x:v>OPEN</x:v>
      </x:c>
      <x:c r="I268" s="21" t="str"/>
      <x:c r="J268" s="21" t="str"/>
    </x:row>
    <x:row r="269">
      <x:c r="A269" s="21" t="str">
        <x:v>QE03-C12-E01</x:v>
      </x:c>
      <x:c r="B269" s="21" t="str">
        <x:v>QE03-C12</x:v>
      </x:c>
      <x:c r="C269" s="21" t="str">
        <x:v>RFP-C2</x:v>
      </x:c>
      <x:c r="D269" s="21" t="str">
        <x:v>PTC-C</x:v>
      </x:c>
      <x:c r="E269" s="21" t="str">
        <x:v>TR-B</x:v>
      </x:c>
      <x:c r="F269" s="21" t="n">
        <x:v>1</x:v>
      </x:c>
      <x:c r="G269" s="21" t="str">
        <x:v>RBB-1 source transfer</x:v>
      </x:c>
      <x:c r="H269" s="21" t="str">
        <x:v>OPEN</x:v>
      </x:c>
      <x:c r="I269" s="21" t="str"/>
      <x:c r="J269" s="21" t="str"/>
    </x:row>
    <x:row r="270">
      <x:c r="A270" s="21" t="str">
        <x:v>QE03-C12-E02</x:v>
      </x:c>
      <x:c r="B270" s="21" t="str">
        <x:v>QE03-C12</x:v>
      </x:c>
      <x:c r="C270" s="21" t="str">
        <x:v>RFP-C2</x:v>
      </x:c>
      <x:c r="D270" s="21" t="str">
        <x:v>PTC-C</x:v>
      </x:c>
      <x:c r="E270" s="21" t="str">
        <x:v>TR-B</x:v>
      </x:c>
      <x:c r="F270" s="21" t="n">
        <x:v>2</x:v>
      </x:c>
      <x:c r="G270" s="21" t="str">
        <x:v>article current</x:v>
      </x:c>
      <x:c r="H270" s="21" t="str">
        <x:v>OPEN</x:v>
      </x:c>
      <x:c r="I270" s="21" t="str"/>
      <x:c r="J270" s="21" t="str"/>
    </x:row>
    <x:row r="271">
      <x:c r="A271" s="21" t="str">
        <x:v>QE03-C12-E03</x:v>
      </x:c>
      <x:c r="B271" s="21" t="str">
        <x:v>QE03-C12</x:v>
      </x:c>
      <x:c r="C271" s="21" t="str">
        <x:v>RFP-C2</x:v>
      </x:c>
      <x:c r="D271" s="21" t="str">
        <x:v>PTC-C</x:v>
      </x:c>
      <x:c r="E271" s="21" t="str">
        <x:v>TR-B</x:v>
      </x:c>
      <x:c r="F271" s="21" t="n">
        <x:v>3</x:v>
      </x:c>
      <x:c r="G271" s="21" t="str">
        <x:v>rate trials</x:v>
      </x:c>
      <x:c r="H271" s="21" t="str">
        <x:v>OPEN</x:v>
      </x:c>
      <x:c r="I271" s="21" t="str"/>
      <x:c r="J271" s="21" t="str"/>
    </x:row>
    <x:row r="272">
      <x:c r="A272" s="21" t="str">
        <x:v>QE03-C12-E04</x:v>
      </x:c>
      <x:c r="B272" s="21" t="str">
        <x:v>QE03-C12</x:v>
      </x:c>
      <x:c r="C272" s="21" t="str">
        <x:v>RFP-C2</x:v>
      </x:c>
      <x:c r="D272" s="21" t="str">
        <x:v>PTC-C</x:v>
      </x:c>
      <x:c r="E272" s="21" t="str">
        <x:v>TR-B</x:v>
      </x:c>
      <x:c r="F272" s="21" t="n">
        <x:v>4</x:v>
      </x:c>
      <x:c r="G272" s="21" t="str">
        <x:v>conversion assembly</x:v>
      </x:c>
      <x:c r="H272" s="21" t="str">
        <x:v>OPEN</x:v>
      </x:c>
      <x:c r="I272" s="21" t="str"/>
      <x:c r="J272" s="21" t="str"/>
    </x:row>
    <x:row r="273">
      <x:c r="A273" s="21" t="str">
        <x:v>QE03-C12-E05</x:v>
      </x:c>
      <x:c r="B273" s="21" t="str">
        <x:v>QE03-C12</x:v>
      </x:c>
      <x:c r="C273" s="21" t="str">
        <x:v>RFP-C2</x:v>
      </x:c>
      <x:c r="D273" s="21" t="str">
        <x:v>PTC-C</x:v>
      </x:c>
      <x:c r="E273" s="21" t="str">
        <x:v>TR-B</x:v>
      </x:c>
      <x:c r="F273" s="21" t="n">
        <x:v>5</x:v>
      </x:c>
      <x:c r="G273" s="21" t="str">
        <x:v>receiver capacity</x:v>
      </x:c>
      <x:c r="H273" s="21" t="str">
        <x:v>OPEN</x:v>
      </x:c>
      <x:c r="I273" s="21" t="str"/>
      <x:c r="J273" s="21" t="str"/>
    </x:row>
    <x:row r="274">
      <x:c r="A274" s="21" t="str">
        <x:v>QE03-C12-E06</x:v>
      </x:c>
      <x:c r="B274" s="21" t="str">
        <x:v>QE03-C12</x:v>
      </x:c>
      <x:c r="C274" s="21" t="str">
        <x:v>RFP-C2</x:v>
      </x:c>
      <x:c r="D274" s="21" t="str">
        <x:v>PTC-C</x:v>
      </x:c>
      <x:c r="E274" s="21" t="str">
        <x:v>TR-B</x:v>
      </x:c>
      <x:c r="F274" s="21" t="n">
        <x:v>6</x:v>
      </x:c>
      <x:c r="G274" s="21" t="str">
        <x:v>package accepted</x:v>
      </x:c>
      <x:c r="H274" s="21" t="str">
        <x:v>OPEN</x:v>
      </x:c>
      <x:c r="I274" s="21" t="str"/>
      <x:c r="J274" s="21" t="str"/>
    </x:row>
    <x:row r="275">
      <x:c r="A275" s="21" t="str">
        <x:v>QE03-C12-E07</x:v>
      </x:c>
      <x:c r="B275" s="21" t="str">
        <x:v>QE03-C12</x:v>
      </x:c>
      <x:c r="C275" s="21" t="str">
        <x:v>RFP-C2</x:v>
      </x:c>
      <x:c r="D275" s="21" t="str">
        <x:v>PTC-C</x:v>
      </x:c>
      <x:c r="E275" s="21" t="str">
        <x:v>TR-B</x:v>
      </x:c>
      <x:c r="F275" s="21" t="n">
        <x:v>7</x:v>
      </x:c>
      <x:c r="G275" s="21" t="str">
        <x:v>package characteristics</x:v>
      </x:c>
      <x:c r="H275" s="21" t="str">
        <x:v>OPEN</x:v>
      </x:c>
      <x:c r="I275" s="21" t="str"/>
      <x:c r="J275" s="21" t="str"/>
    </x:row>
    <x:row r="276">
      <x:c r="A276" s="21" t="str">
        <x:v>QE03-C12-E08</x:v>
      </x:c>
      <x:c r="B276" s="21" t="str">
        <x:v>QE03-C12</x:v>
      </x:c>
      <x:c r="C276" s="21" t="str">
        <x:v>RFP-C2</x:v>
      </x:c>
      <x:c r="D276" s="21" t="str">
        <x:v>PTC-C</x:v>
      </x:c>
      <x:c r="E276" s="21" t="str">
        <x:v>TR-B</x:v>
      </x:c>
      <x:c r="F276" s="21" t="n">
        <x:v>8</x:v>
      </x:c>
      <x:c r="G276" s="21" t="str">
        <x:v>source metrology</x:v>
      </x:c>
      <x:c r="H276" s="21" t="str">
        <x:v>OPEN</x:v>
      </x:c>
      <x:c r="I276" s="21" t="str"/>
      <x:c r="J276" s="21" t="str"/>
    </x:row>
    <x:row r="277">
      <x:c r="A277" s="21" t="str">
        <x:v>QE03-C12-E09</x:v>
      </x:c>
      <x:c r="B277" s="21" t="str">
        <x:v>QE03-C12</x:v>
      </x:c>
      <x:c r="C277" s="21" t="str">
        <x:v>RFP-C2</x:v>
      </x:c>
      <x:c r="D277" s="21" t="str">
        <x:v>PTC-C</x:v>
      </x:c>
      <x:c r="E277" s="21" t="str">
        <x:v>TR-B</x:v>
      </x:c>
      <x:c r="F277" s="21" t="n">
        <x:v>9</x:v>
      </x:c>
      <x:c r="G277" s="21" t="str">
        <x:v>dynamic hold-up</x:v>
      </x:c>
      <x:c r="H277" s="21" t="str">
        <x:v>OPEN</x:v>
      </x:c>
      <x:c r="I277" s="21" t="str"/>
      <x:c r="J277" s="21" t="str"/>
    </x:row>
    <x:row r="278">
      <x:c r="A278" s="21" t="str">
        <x:v>QE03-C12-E10</x:v>
      </x:c>
      <x:c r="B278" s="21" t="str">
        <x:v>QE03-C12</x:v>
      </x:c>
      <x:c r="C278" s="21" t="str">
        <x:v>RFP-C2</x:v>
      </x:c>
      <x:c r="D278" s="21" t="str">
        <x:v>PTC-C</x:v>
      </x:c>
      <x:c r="E278" s="21" t="str">
        <x:v>TR-B</x:v>
      </x:c>
      <x:c r="F278" s="21" t="n">
        <x:v>10</x:v>
      </x:c>
      <x:c r="G278" s="21" t="str">
        <x:v>pressure transient</x:v>
      </x:c>
      <x:c r="H278" s="21" t="str">
        <x:v>OPEN</x:v>
      </x:c>
      <x:c r="I278" s="21" t="str"/>
      <x:c r="J278" s="21" t="str"/>
    </x:row>
    <x:row r="279">
      <x:c r="A279" s="21" t="str">
        <x:v>QE03-C12-E11</x:v>
      </x:c>
      <x:c r="B279" s="21" t="str">
        <x:v>QE03-C12</x:v>
      </x:c>
      <x:c r="C279" s="21" t="str">
        <x:v>RFP-C2</x:v>
      </x:c>
      <x:c r="D279" s="21" t="str">
        <x:v>PTC-C</x:v>
      </x:c>
      <x:c r="E279" s="21" t="str">
        <x:v>TR-B</x:v>
      </x:c>
      <x:c r="F279" s="21" t="n">
        <x:v>11</x:v>
      </x:c>
      <x:c r="G279" s="21" t="str">
        <x:v>safeing elements and paths</x:v>
      </x:c>
      <x:c r="H279" s="21" t="str">
        <x:v>OPEN</x:v>
      </x:c>
      <x:c r="I279" s="21" t="str"/>
      <x:c r="J279" s="21" t="str"/>
    </x:row>
    <x:row r="280">
      <x:c r="A280" s="21" t="str">
        <x:v>QE03-C12-E12</x:v>
      </x:c>
      <x:c r="B280" s="21" t="str">
        <x:v>QE03-C12</x:v>
      </x:c>
      <x:c r="C280" s="21" t="str">
        <x:v>RFP-C2</x:v>
      </x:c>
      <x:c r="D280" s="21" t="str">
        <x:v>PTC-C</x:v>
      </x:c>
      <x:c r="E280" s="21" t="str">
        <x:v>TR-B</x:v>
      </x:c>
      <x:c r="F280" s="21" t="n">
        <x:v>12</x:v>
      </x:c>
      <x:c r="G280" s="21" t="str">
        <x:v>casualty custody</x:v>
      </x:c>
      <x:c r="H280" s="21" t="str">
        <x:v>OPEN</x:v>
      </x:c>
      <x:c r="I280" s="21" t="str"/>
      <x:c r="J280" s="21" t="str"/>
    </x:row>
    <x:row r="281">
      <x:c r="A281" s="21" t="str">
        <x:v>QE03-C12-E13</x:v>
      </x:c>
      <x:c r="B281" s="21" t="str">
        <x:v>QE03-C12</x:v>
      </x:c>
      <x:c r="C281" s="21" t="str">
        <x:v>RFP-C2</x:v>
      </x:c>
      <x:c r="D281" s="21" t="str">
        <x:v>PTC-C</x:v>
      </x:c>
      <x:c r="E281" s="21" t="str">
        <x:v>TR-B</x:v>
      </x:c>
      <x:c r="F281" s="21" t="n">
        <x:v>13</x:v>
      </x:c>
      <x:c r="G281" s="21" t="str">
        <x:v>environmental background</x:v>
      </x:c>
      <x:c r="H281" s="21" t="str">
        <x:v>OPEN</x:v>
      </x:c>
      <x:c r="I281" s="21" t="str"/>
      <x:c r="J281" s="21" t="str"/>
    </x:row>
    <x:row r="282">
      <x:c r="A282" s="21" t="str">
        <x:v>QE03-C12-E14</x:v>
      </x:c>
      <x:c r="B282" s="21" t="str">
        <x:v>QE03-C12</x:v>
      </x:c>
      <x:c r="C282" s="21" t="str">
        <x:v>RFP-C2</x:v>
      </x:c>
      <x:c r="D282" s="21" t="str">
        <x:v>PTC-C</x:v>
      </x:c>
      <x:c r="E282" s="21" t="str">
        <x:v>TR-B</x:v>
      </x:c>
      <x:c r="F282" s="21" t="n">
        <x:v>14</x:v>
      </x:c>
      <x:c r="G282" s="21" t="str">
        <x:v>observed zero method water</x:v>
      </x:c>
      <x:c r="H282" s="21" t="str">
        <x:v>OPEN</x:v>
      </x:c>
      <x:c r="I282" s="21" t="str"/>
      <x:c r="J282" s="21" t="str"/>
    </x:row>
    <x:row r="283">
      <x:c r="A283" s="21" t="str">
        <x:v>QE03-C12-E15</x:v>
      </x:c>
      <x:c r="B283" s="21" t="str">
        <x:v>QE03-C12</x:v>
      </x:c>
      <x:c r="C283" s="21" t="str">
        <x:v>RFP-C2</x:v>
      </x:c>
      <x:c r="D283" s="21" t="str">
        <x:v>PTC-C</x:v>
      </x:c>
      <x:c r="E283" s="21" t="str">
        <x:v>TR-B</x:v>
      </x:c>
      <x:c r="F283" s="21" t="n">
        <x:v>15</x:v>
      </x:c>
      <x:c r="G283" s="21" t="str">
        <x:v>evidence capacity</x:v>
      </x:c>
      <x:c r="H283" s="21" t="str">
        <x:v>OPEN</x:v>
      </x:c>
      <x:c r="I283" s="21" t="str"/>
      <x:c r="J283" s="21" t="str"/>
    </x:row>
    <x:row r="284">
      <x:c r="A284" s="21" t="str">
        <x:v>QE03-C12-E16</x:v>
      </x:c>
      <x:c r="B284" s="21" t="str">
        <x:v>QE03-C12</x:v>
      </x:c>
      <x:c r="C284" s="21" t="str">
        <x:v>RFP-C2</x:v>
      </x:c>
      <x:c r="D284" s="21" t="str">
        <x:v>PTC-C</x:v>
      </x:c>
      <x:c r="E284" s="21" t="str">
        <x:v>TR-B</x:v>
      </x:c>
      <x:c r="F284" s="21" t="n">
        <x:v>16</x:v>
      </x:c>
      <x:c r="G284" s="21" t="str">
        <x:v>causal time</x:v>
      </x:c>
      <x:c r="H284" s="21" t="str">
        <x:v>OPEN</x:v>
      </x:c>
      <x:c r="I284" s="21" t="str"/>
      <x:c r="J284" s="21" t="str"/>
    </x:row>
    <x:row r="285">
      <x:c r="A285" s="21" t="str">
        <x:v>QE03-C12-E17</x:v>
      </x:c>
      <x:c r="B285" s="21" t="str">
        <x:v>QE03-C12</x:v>
      </x:c>
      <x:c r="C285" s="21" t="str">
        <x:v>RFP-C2</x:v>
      </x:c>
      <x:c r="D285" s="21" t="str">
        <x:v>PTC-C</x:v>
      </x:c>
      <x:c r="E285" s="21" t="str">
        <x:v>TR-B</x:v>
      </x:c>
      <x:c r="F285" s="21" t="n">
        <x:v>17</x:v>
      </x:c>
      <x:c r="G285" s="21" t="str">
        <x:v>incoming source-exposed baseline</x:v>
      </x:c>
      <x:c r="H285" s="21" t="str">
        <x:v>OPEN</x:v>
      </x:c>
      <x:c r="I285" s="21" t="str"/>
      <x:c r="J285" s="21" t="str"/>
    </x:row>
    <x:row r="286">
      <x:c r="A286" s="21" t="str">
        <x:v>QE03-C12-E18</x:v>
      </x:c>
      <x:c r="B286" s="21" t="str">
        <x:v>QE03-C12</x:v>
      </x:c>
      <x:c r="C286" s="21" t="str">
        <x:v>RFP-C2</x:v>
      </x:c>
      <x:c r="D286" s="21" t="str">
        <x:v>PTC-C</x:v>
      </x:c>
      <x:c r="E286" s="21" t="str">
        <x:v>TR-B</x:v>
      </x:c>
      <x:c r="F286" s="21" t="n">
        <x:v>18</x:v>
      </x:c>
      <x:c r="G286" s="21" t="str">
        <x:v>64-position crew</x:v>
      </x:c>
      <x:c r="H286" s="21" t="str">
        <x:v>OPEN</x:v>
      </x:c>
      <x:c r="I286" s="21" t="str"/>
      <x:c r="J286" s="21" t="str"/>
    </x:row>
    <x:row r="287">
      <x:c r="A287" s="21" t="str">
        <x:v>QE03-C12-E19</x:v>
      </x:c>
      <x:c r="B287" s="21" t="str">
        <x:v>QE03-C12</x:v>
      </x:c>
      <x:c r="C287" s="21" t="str">
        <x:v>RFP-C2</x:v>
      </x:c>
      <x:c r="D287" s="21" t="str">
        <x:v>PTC-C</x:v>
      </x:c>
      <x:c r="E287" s="21" t="str">
        <x:v>TR-B</x:v>
      </x:c>
      <x:c r="F287" s="21" t="n">
        <x:v>19</x:v>
      </x:c>
      <x:c r="G287" s="21" t="str">
        <x:v>rescue and exclusion</x:v>
      </x:c>
      <x:c r="H287" s="21" t="str">
        <x:v>OPEN</x:v>
      </x:c>
      <x:c r="I287" s="21" t="str"/>
      <x:c r="J287" s="21" t="str"/>
    </x:row>
    <x:row r="288">
      <x:c r="A288" s="21" t="str">
        <x:v>QE03-C12-E20</x:v>
      </x:c>
      <x:c r="B288" s="21" t="str">
        <x:v>QE03-C12</x:v>
      </x:c>
      <x:c r="C288" s="21" t="str">
        <x:v>RFP-C2</x:v>
      </x:c>
      <x:c r="D288" s="21" t="str">
        <x:v>PTC-C</x:v>
      </x:c>
      <x:c r="E288" s="21" t="str">
        <x:v>TR-B</x:v>
      </x:c>
      <x:c r="F288" s="21" t="n">
        <x:v>20</x:v>
      </x:c>
      <x:c r="G288" s="21" t="str">
        <x:v>waste destinations</x:v>
      </x:c>
      <x:c r="H288" s="21" t="str">
        <x:v>OPEN</x:v>
      </x:c>
      <x:c r="I288" s="21" t="str"/>
      <x:c r="J288" s="21" t="str"/>
    </x:row>
    <x:row r="289">
      <x:c r="A289" s="21" t="str">
        <x:v>QE03-C12-E21</x:v>
      </x:c>
      <x:c r="B289" s="21" t="str">
        <x:v>QE03-C12</x:v>
      </x:c>
      <x:c r="C289" s="21" t="str">
        <x:v>RFP-C2</x:v>
      </x:c>
      <x:c r="D289" s="21" t="str">
        <x:v>PTC-C</x:v>
      </x:c>
      <x:c r="E289" s="21" t="str">
        <x:v>TR-B</x:v>
      </x:c>
      <x:c r="F289" s="21" t="n">
        <x:v>21</x:v>
      </x:c>
      <x:c r="G289" s="21" t="str">
        <x:v>outside-origin replay</x:v>
      </x:c>
      <x:c r="H289" s="21" t="str">
        <x:v>OPEN</x:v>
      </x:c>
      <x:c r="I289" s="21" t="str"/>
      <x:c r="J289" s="21" t="str"/>
    </x:row>
    <x:row r="290">
      <x:c r="A290" s="21" t="str">
        <x:v>QE03-C12-E22</x:v>
      </x:c>
      <x:c r="B290" s="21" t="str">
        <x:v>QE03-C12</x:v>
      </x:c>
      <x:c r="C290" s="21" t="str">
        <x:v>RFP-C2</x:v>
      </x:c>
      <x:c r="D290" s="21" t="str">
        <x:v>PTC-C</x:v>
      </x:c>
      <x:c r="E290" s="21" t="str">
        <x:v>TR-B</x:v>
      </x:c>
      <x:c r="F290" s="21" t="n">
        <x:v>22</x:v>
      </x:c>
      <x:c r="G290" s="21" t="str">
        <x:v>neighbor state</x:v>
      </x:c>
      <x:c r="H290" s="21" t="str">
        <x:v>OPEN</x:v>
      </x:c>
      <x:c r="I290" s="21" t="str"/>
      <x:c r="J290" s="21" t="str"/>
    </x:row>
    <x:row r="291">
      <x:c r="A291" s="21" t="str">
        <x:v>QE03-C12-E23</x:v>
      </x:c>
      <x:c r="B291" s="21" t="str">
        <x:v>QE03-C12</x:v>
      </x:c>
      <x:c r="C291" s="21" t="str">
        <x:v>RFP-C2</x:v>
      </x:c>
      <x:c r="D291" s="21" t="str">
        <x:v>PTC-C</x:v>
      </x:c>
      <x:c r="E291" s="21" t="str">
        <x:v>TR-B</x:v>
      </x:c>
      <x:c r="F291" s="21" t="n">
        <x:v>23</x:v>
      </x:c>
      <x:c r="G291" s="21" t="str">
        <x:v>change freeze</x:v>
      </x:c>
      <x:c r="H291" s="21" t="str">
        <x:v>OPEN</x:v>
      </x:c>
      <x:c r="I291" s="21" t="str"/>
      <x:c r="J291" s="21" t="str"/>
    </x:row>
    <x:row r="292">
      <x:c r="A292" s="21" t="str">
        <x:v>QE03-C12-E24</x:v>
      </x:c>
      <x:c r="B292" s="21" t="str">
        <x:v>QE03-C12</x:v>
      </x:c>
      <x:c r="C292" s="21" t="str">
        <x:v>RFP-C2</x:v>
      </x:c>
      <x:c r="D292" s="21" t="str">
        <x:v>PTC-C</x:v>
      </x:c>
      <x:c r="E292" s="21" t="str">
        <x:v>TR-B</x:v>
      </x:c>
      <x:c r="F292" s="21" t="n">
        <x:v>24</x:v>
      </x:c>
      <x:c r="G292" s="21" t="str">
        <x:v>issue concurrence</x:v>
      </x:c>
      <x:c r="H292" s="21" t="str">
        <x:v>OPEN</x:v>
      </x:c>
      <x:c r="I292" s="21" t="str"/>
      <x:c r="J292" s="21" t="str"/>
    </x:row>
  </x:sheetData>
  <x:conditionalFormatting sqref="H5:H292">
    <x:cfRule type="containsText" dxfId="36" priority="1" operator="containsText" text="PASS"/>
    <x:cfRule type="containsText" dxfId="37" priority="2" operator="containsText" text="ACCEPTED"/>
    <x:cfRule type="containsText" dxfId="38" priority="3" operator="containsText" text="OPEN"/>
    <x:cfRule type="containsText" dxfId="39" priority="4" operator="containsText" text="BLOCKED"/>
    <x:cfRule type="containsText" dxfId="40" priority="5" operator="containsText" text="FAIL"/>
    <x:cfRule type="containsText" dxfId="41" priority="6" operator="containsText" text="STOP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7" hidden="0" customWidth="1"/>
    <x:col min="4" max="4" width="19" hidden="0" customWidth="1"/>
    <x:col min="5" max="5" width="15" hidden="0" customWidth="1"/>
    <x:col min="6" max="6" width="60" hidden="0" customWidth="1"/>
  </x:cols>
  <x:sheetData>
    <x:row r="1" ht="28" customHeight="1">
      <x:c r="A1" s="17" t="str">
        <x:v>Six-party public draw</x:v>
      </x:c>
      <x:c r="B1" s="17"/>
      <x:c r="C1" s="17"/>
      <x:c r="D1" s="17"/>
      <x:c r="E1" s="17"/>
      <x:c r="F1" s="17"/>
    </x:row>
    <x:row r="2" ht="34" customHeight="1">
      <x:c r="A2" s="18" t="str">
        <x:v>Actual commitments and reveals remain blank. The model example tests modulo arithmetic only.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>
      <x:c r="A4" s="20" t="str">
        <x:v>Record</x:v>
      </x:c>
      <x:c r="B4" s="20" t="str">
        <x:v>Custodian</x:v>
      </x:c>
      <x:c r="C4" s="20" t="str">
        <x:v>Reveal sum</x:v>
      </x:c>
      <x:c r="D4" s="20" t="str">
        <x:v>Selected index</x:v>
      </x:c>
      <x:c r="E4" s="20" t="str">
        <x:v>State</x:v>
      </x:c>
      <x:c r="F4" s="20" t="str">
        <x:v>Rule</x:v>
      </x:c>
    </x:row>
    <x:row r="5">
      <x:c r="A5" s="21" t="str">
        <x:v>D1</x:v>
      </x:c>
      <x:c r="B5" s="21" t="str">
        <x:v>Custodian 1</x:v>
      </x:c>
      <x:c r="C5" s="21" t="str"/>
      <x:c r="D5" s="21" t="str"/>
      <x:c r="E5" s="21" t="str">
        <x:v>OPEN</x:v>
      </x:c>
      <x:c r="F5" s="21" t="str">
        <x:v>commit before eligibility freeze</x:v>
      </x:c>
    </x:row>
    <x:row r="6">
      <x:c r="A6" s="21" t="str">
        <x:v>D2</x:v>
      </x:c>
      <x:c r="B6" s="21" t="str">
        <x:v>Custodian 2</x:v>
      </x:c>
      <x:c r="C6" s="21" t="str"/>
      <x:c r="D6" s="21" t="str"/>
      <x:c r="E6" s="21" t="str">
        <x:v>OPEN</x:v>
      </x:c>
      <x:c r="F6" s="21" t="str">
        <x:v>commit before eligibility freeze</x:v>
      </x:c>
    </x:row>
    <x:row r="7">
      <x:c r="A7" s="21" t="str">
        <x:v>D3</x:v>
      </x:c>
      <x:c r="B7" s="21" t="str">
        <x:v>Custodian 3</x:v>
      </x:c>
      <x:c r="C7" s="21" t="str"/>
      <x:c r="D7" s="21" t="str"/>
      <x:c r="E7" s="21" t="str">
        <x:v>OPEN</x:v>
      </x:c>
      <x:c r="F7" s="21" t="str">
        <x:v>commit before eligibility freeze</x:v>
      </x:c>
    </x:row>
    <x:row r="8">
      <x:c r="A8" s="21" t="str">
        <x:v>D4</x:v>
      </x:c>
      <x:c r="B8" s="21" t="str">
        <x:v>Custodian 4</x:v>
      </x:c>
      <x:c r="C8" s="21" t="str"/>
      <x:c r="D8" s="21" t="str"/>
      <x:c r="E8" s="21" t="str">
        <x:v>OPEN</x:v>
      </x:c>
      <x:c r="F8" s="21" t="str">
        <x:v>commit before eligibility freeze</x:v>
      </x:c>
    </x:row>
    <x:row r="9">
      <x:c r="A9" s="21" t="str">
        <x:v>D5</x:v>
      </x:c>
      <x:c r="B9" s="21" t="str">
        <x:v>Custodian 5</x:v>
      </x:c>
      <x:c r="C9" s="21" t="str"/>
      <x:c r="D9" s="21" t="str"/>
      <x:c r="E9" s="21" t="str">
        <x:v>OPEN</x:v>
      </x:c>
      <x:c r="F9" s="21" t="str">
        <x:v>commit before eligibility freeze</x:v>
      </x:c>
    </x:row>
    <x:row r="10">
      <x:c r="A10" s="21" t="str">
        <x:v>D6</x:v>
      </x:c>
      <x:c r="B10" s="21" t="str">
        <x:v>Custodian 6</x:v>
      </x:c>
      <x:c r="C10" s="21" t="str"/>
      <x:c r="D10" s="21" t="str"/>
      <x:c r="E10" s="21" t="str">
        <x:v>OPEN</x:v>
      </x:c>
      <x:c r="F10" s="21" t="str">
        <x:v>commit before eligibility freeze</x:v>
      </x:c>
    </x:row>
    <x:row r="11">
      <x:c r="A11" s="21" t="str">
        <x:v>EXAMPLE</x:v>
      </x:c>
      <x:c r="B11" s="21" t="str">
        <x:v>model-only</x:v>
      </x:c>
      <x:c r="C11" s="21" t="n">
        <x:v>23</x:v>
      </x:c>
      <x:c r="D11" s="21" t="n">
        <x:v>12</x:v>
      </x:c>
      <x:c r="E11" s="21" t="str">
        <x:v>PASS</x:v>
      </x:c>
      <x:c r="F11" s="21" t="str">
        <x:v>sum 23 modulo 12 gives selected index 12</x:v>
      </x:c>
    </x:row>
  </x:sheetData>
  <x:conditionalFormatting sqref="E5:E11">
    <x:cfRule type="containsText" dxfId="42" priority="1" operator="containsText" text="PASS"/>
    <x:cfRule type="containsText" dxfId="43" priority="2" operator="containsText" text="ACCEPTED"/>
    <x:cfRule type="containsText" dxfId="44" priority="3" operator="containsText" text="OPEN"/>
    <x:cfRule type="containsText" dxfId="45" priority="4" operator="containsText" text="BLOCKED"/>
    <x:cfRule type="containsText" dxfId="46" priority="5" operator="containsText" text="FAIL"/>
    <x:cfRule type="containsText" dxfId="47" priority="6" operator="containsText" text="STOP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34" hidden="0" customWidth="1"/>
    <x:col min="5" max="5" width="16" hidden="0" customWidth="1"/>
    <x:col min="6" max="6" width="46" hidden="0" customWidth="1"/>
  </x:cols>
  <x:sheetData>
    <x:row r="1" ht="28" customHeight="1">
      <x:c r="A1" s="17" t="str">
        <x:v>Two first-event attempt tokens</x:v>
      </x:c>
      <x:c r="B1" s="17"/>
      <x:c r="C1" s="17"/>
      <x:c r="D1" s="17"/>
      <x:c r="E1" s="17"/>
      <x:c r="F1" s="17"/>
    </x:row>
    <x:row r="2" ht="34" customHeight="1">
      <x:c r="A2" s="18" t="str">
        <x:v>RBC-1 may issue one primary and at most one same-cell, same-root replacement.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>
      <x:c r="A4" s="20" t="str">
        <x:v>Token</x:v>
      </x:c>
      <x:c r="B4" s="20" t="str">
        <x:v>Role</x:v>
      </x:c>
      <x:c r="C4" s="20" t="str">
        <x:v>Cell</x:v>
      </x:c>
      <x:c r="D4" s="20" t="str">
        <x:v>Package rule</x:v>
      </x:c>
      <x:c r="E4" s="20" t="str">
        <x:v>State</x:v>
      </x:c>
      <x:c r="F4" s="20" t="str">
        <x:v>Activation</x:v>
      </x:c>
    </x:row>
    <x:row r="5">
      <x:c r="A5" s="21" t="str">
        <x:v>QE03-P01</x:v>
      </x:c>
      <x:c r="B5" s="21" t="str">
        <x:v>PRIMARY</x:v>
      </x:c>
      <x:c r="C5" s="21" t="str">
        <x:v>selected cell</x:v>
      </x:c>
      <x:c r="D5" s="21" t="str">
        <x:v>selected root active package</x:v>
      </x:c>
      <x:c r="E5" s="21" t="str">
        <x:v>AVAILABLE</x:v>
      </x:c>
      <x:c r="F5" s="21" t="str">
        <x:v>public draw after all gates</x:v>
      </x:c>
    </x:row>
    <x:row r="6">
      <x:c r="A6" s="21" t="str">
        <x:v>QE03-R01</x:v>
      </x:c>
      <x:c r="B6" s="21" t="str">
        <x:v>RESERVE</x:v>
      </x:c>
      <x:c r="C6" s="21" t="str">
        <x:v>same selected cell</x:v>
      </x:c>
      <x:c r="D6" s="21" t="str">
        <x:v>next same-root reserve</x:v>
      </x:c>
      <x:c r="E6" s="21" t="str">
        <x:v>DORMANT</x:v>
      </x:c>
      <x:c r="F6" s="21" t="str">
        <x:v>independent INVALID only</x:v>
      </x:c>
    </x:row>
  </x:sheetData>
  <x:conditionalFormatting sqref="E5:E6">
    <x:cfRule type="containsText" dxfId="48" priority="1" operator="containsText" text="PASS"/>
    <x:cfRule type="containsText" dxfId="49" priority="2" operator="containsText" text="ACCEPTED"/>
    <x:cfRule type="containsText" dxfId="50" priority="3" operator="containsText" text="OPEN"/>
    <x:cfRule type="containsText" dxfId="51" priority="4" operator="containsText" text="BLOCKED"/>
    <x:cfRule type="containsText" dxfId="52" priority="5" operator="containsText" text="FAIL"/>
    <x:cfRule type="containsText" dxfId="53" priority="6" operator="containsText" text="STOP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9" hidden="0" customWidth="1"/>
    <x:col min="4" max="4" width="18" hidden="0" customWidth="1"/>
    <x:col min="5" max="5" width="22" hidden="0" customWidth="1"/>
    <x:col min="6" max="6" width="16" hidden="0" customWidth="1"/>
    <x:col min="7" max="7" width="27" hidden="0" customWidth="1"/>
    <x:col min="8" max="8" width="27" hidden="0" customWidth="1"/>
    <x:col min="9" max="9" width="16" hidden="0" customWidth="1"/>
    <x:col min="10" max="10" width="16" hidden="0" customWidth="1"/>
  </x:cols>
  <x:sheetData>
    <x:row r="1" ht="28" customHeight="1">
      <x:c r="A1" s="17" t="str">
        <x:v>First-event attempt register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34" customHeight="1">
      <x:c r="A2" s="18" t="str">
        <x:v>Issue, validity, outcome, credit and return remain physical observations.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>
      <x:c r="A4" s="20" t="str">
        <x:v>Token</x:v>
      </x:c>
      <x:c r="B4" s="20" t="str">
        <x:v>Role</x:v>
      </x:c>
      <x:c r="C4" s="20" t="str">
        <x:v>Exact cell</x:v>
      </x:c>
      <x:c r="D4" s="20" t="str">
        <x:v>Package</x:v>
      </x:c>
      <x:c r="E4" s="20" t="str">
        <x:v>Issue UTC</x:v>
      </x:c>
      <x:c r="F4" s="20" t="str">
        <x:v>Validity</x:v>
      </x:c>
      <x:c r="G4" s="20" t="str">
        <x:v>Outcome</x:v>
      </x:c>
      <x:c r="H4" s="20" t="str">
        <x:v>Packet root</x:v>
      </x:c>
      <x:c r="I4" s="20" t="str">
        <x:v>Cell credit</x:v>
      </x:c>
      <x:c r="J4" s="20" t="str">
        <x:v>Return</x:v>
      </x:c>
    </x:row>
    <x:row r="5">
      <x:c r="A5" s="21" t="str">
        <x:v>QE03-P01</x:v>
      </x:c>
      <x:c r="B5" s="21" t="str">
        <x:v>PRIMARY</x:v>
      </x:c>
      <x:c r="C5" s="21" t="str"/>
      <x:c r="D5" s="21" t="str"/>
      <x:c r="E5" s="21" t="str"/>
      <x:c r="F5" s="21" t="str">
        <x:v>OPEN</x:v>
      </x:c>
      <x:c r="G5" s="21" t="str">
        <x:v>OPEN</x:v>
      </x:c>
      <x:c r="H5" s="21" t="str"/>
      <x:c r="I5" s="21" t="str">
        <x:v>NO</x:v>
      </x:c>
      <x:c r="J5" s="21" t="str">
        <x:v>OPEN</x:v>
      </x:c>
    </x:row>
    <x:row r="6">
      <x:c r="A6" s="21" t="str">
        <x:v>QE03-R01</x:v>
      </x:c>
      <x:c r="B6" s="21" t="str">
        <x:v>RESERVE</x:v>
      </x:c>
      <x:c r="C6" s="21" t="str"/>
      <x:c r="D6" s="21" t="str"/>
      <x:c r="E6" s="21" t="str"/>
      <x:c r="F6" s="21" t="str">
        <x:v>OPEN</x:v>
      </x:c>
      <x:c r="G6" s="21" t="str">
        <x:v>OPEN</x:v>
      </x:c>
      <x:c r="H6" s="21" t="str"/>
      <x:c r="I6" s="21" t="str">
        <x:v>NO</x:v>
      </x:c>
      <x:c r="J6" s="21" t="str">
        <x:v>OPEN</x:v>
      </x:c>
    </x:row>
  </x:sheetData>
  <x:conditionalFormatting sqref="F5:J6">
    <x:cfRule type="containsText" dxfId="54" priority="1" operator="containsText" text="PASS"/>
    <x:cfRule type="containsText" dxfId="55" priority="2" operator="containsText" text="ACCEPTED"/>
    <x:cfRule type="containsText" dxfId="56" priority="3" operator="containsText" text="OPEN"/>
    <x:cfRule type="containsText" dxfId="57" priority="4" operator="containsText" text="BLOCKED"/>
    <x:cfRule type="containsText" dxfId="58" priority="5" operator="containsText" text="FAIL"/>
    <x:cfRule type="containsText" dxfId="59" priority="6" operator="containsText" text="STOP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14" hidden="0" customWidth="1"/>
    <x:col min="4" max="4" width="49" hidden="0" customWidth="1"/>
    <x:col min="5" max="5" width="15" hidden="0" customWidth="1"/>
    <x:col min="6" max="6" width="28" hidden="0" customWidth="1"/>
    <x:col min="7" max="7" width="22" hidden="0" customWidth="1"/>
  </x:cols>
  <x:sheetData>
    <x:row r="1" ht="28" customHeight="1">
      <x:c r="A1" s="17" t="str">
        <x:v>Forty-two event gates per attempt</x:v>
      </x:c>
      <x:c r="B1" s="17"/>
      <x:c r="C1" s="17"/>
      <x:c r="D1" s="17"/>
      <x:c r="E1" s="17"/>
      <x:c r="F1" s="17"/>
      <x:c r="G1" s="17"/>
    </x:row>
    <x:row r="2" ht="34" customHeight="1">
      <x:c r="A2" s="18" t="str">
        <x:v>The QE-03 event retains lower-level gates and adds rate, conversion, receiver and transient decisions.</x:v>
      </x:c>
      <x:c r="B2" s="18"/>
      <x:c r="C2" s="18"/>
      <x:c r="D2" s="18"/>
      <x:c r="E2" s="18"/>
      <x:c r="F2" s="18"/>
      <x:c r="G2" s="18"/>
    </x:row>
    <x:row r="3">
      <x:c r="A3" s="19"/>
      <x:c r="B3" s="19"/>
      <x:c r="C3" s="19"/>
      <x:c r="D3" s="19"/>
      <x:c r="E3" s="19"/>
      <x:c r="F3" s="19"/>
      <x:c r="G3" s="19"/>
    </x:row>
    <x:row r="4">
      <x:c r="A4" s="20" t="str">
        <x:v>Gate</x:v>
      </x:c>
      <x:c r="B4" s="20" t="str">
        <x:v>Token</x:v>
      </x:c>
      <x:c r="C4" s="20" t="str">
        <x:v>Ordinal</x:v>
      </x:c>
      <x:c r="D4" s="20" t="str">
        <x:v>Requirement</x:v>
      </x:c>
      <x:c r="E4" s="20" t="str">
        <x:v>State</x:v>
      </x:c>
      <x:c r="F4" s="20" t="str">
        <x:v>Evidence root</x:v>
      </x:c>
      <x:c r="G4" s="20" t="str">
        <x:v>Accepted UTC</x:v>
      </x:c>
    </x:row>
    <x:row r="5">
      <x:c r="A5" s="21" t="str">
        <x:v>QE03-P01-G01</x:v>
      </x:c>
      <x:c r="B5" s="21" t="str">
        <x:v>QE03-P01</x:v>
      </x:c>
      <x:c r="C5" s="21" t="n">
        <x:v>1</x:v>
      </x:c>
      <x:c r="D5" s="21" t="str">
        <x:v>RBB-1 source-transfer accepted</x:v>
      </x:c>
      <x:c r="E5" s="21" t="str">
        <x:v>OPEN</x:v>
      </x:c>
      <x:c r="F5" s="21" t="str"/>
      <x:c r="G5" s="21" t="str"/>
    </x:row>
    <x:row r="6">
      <x:c r="A6" s="21" t="str">
        <x:v>QE03-P01-G02</x:v>
      </x:c>
      <x:c r="B6" s="21" t="str">
        <x:v>QE03-P01</x:v>
      </x:c>
      <x:c r="C6" s="21" t="n">
        <x:v>2</x:v>
      </x:c>
      <x:c r="D6" s="21" t="str">
        <x:v>all twelve cells eligible</x:v>
      </x:c>
      <x:c r="E6" s="21" t="str">
        <x:v>OPEN</x:v>
      </x:c>
      <x:c r="F6" s="21" t="str"/>
      <x:c r="G6" s="21" t="str"/>
    </x:row>
    <x:row r="7">
      <x:c r="A7" s="21" t="str">
        <x:v>QE03-P01-G03</x:v>
      </x:c>
      <x:c r="B7" s="21" t="str">
        <x:v>QE03-P01</x:v>
      </x:c>
      <x:c r="C7" s="21" t="n">
        <x:v>3</x:v>
      </x:c>
      <x:c r="D7" s="21" t="str">
        <x:v>public draw verified</x:v>
      </x:c>
      <x:c r="E7" s="21" t="str">
        <x:v>OPEN</x:v>
      </x:c>
      <x:c r="F7" s="21" t="str"/>
      <x:c r="G7" s="21" t="str"/>
    </x:row>
    <x:row r="8">
      <x:c r="A8" s="21" t="str">
        <x:v>QE03-P01-G04</x:v>
      </x:c>
      <x:c r="B8" s="21" t="str">
        <x:v>QE03-P01</x:v>
      </x:c>
      <x:c r="C8" s="21" t="n">
        <x:v>4</x:v>
      </x:c>
      <x:c r="D8" s="21" t="str">
        <x:v>exact cell current</x:v>
      </x:c>
      <x:c r="E8" s="21" t="str">
        <x:v>OPEN</x:v>
      </x:c>
      <x:c r="F8" s="21" t="str"/>
      <x:c r="G8" s="21" t="str"/>
    </x:row>
    <x:row r="9">
      <x:c r="A9" s="21" t="str">
        <x:v>QE03-P01-G05</x:v>
      </x:c>
      <x:c r="B9" s="21" t="str">
        <x:v>QE03-P01</x:v>
      </x:c>
      <x:c r="C9" s="21" t="n">
        <x:v>5</x:v>
      </x:c>
      <x:c r="D9" s="21" t="str">
        <x:v>attempt token available</x:v>
      </x:c>
      <x:c r="E9" s="21" t="str">
        <x:v>OPEN</x:v>
      </x:c>
      <x:c r="F9" s="21" t="str"/>
      <x:c r="G9" s="21" t="str"/>
    </x:row>
    <x:row r="10">
      <x:c r="A10" s="21" t="str">
        <x:v>QE03-P01-G06</x:v>
      </x:c>
      <x:c r="B10" s="21" t="str">
        <x:v>QE03-P01</x:v>
      </x:c>
      <x:c r="C10" s="21" t="n">
        <x:v>6</x:v>
      </x:c>
      <x:c r="D10" s="21" t="str">
        <x:v>300 kg package accepted</x:v>
      </x:c>
      <x:c r="E10" s="21" t="str">
        <x:v>OPEN</x:v>
      </x:c>
      <x:c r="F10" s="21" t="str"/>
      <x:c r="G10" s="21" t="str"/>
    </x:row>
    <x:row r="11">
      <x:c r="A11" s="21" t="str">
        <x:v>QE03-P01-G07</x:v>
      </x:c>
      <x:c r="B11" s="21" t="str">
        <x:v>QE03-P01</x:v>
      </x:c>
      <x:c r="C11" s="21" t="n">
        <x:v>7</x:v>
      </x:c>
      <x:c r="D11" s="21" t="str">
        <x:v>twelve package characteristics</x:v>
      </x:c>
      <x:c r="E11" s="21" t="str">
        <x:v>OPEN</x:v>
      </x:c>
      <x:c r="F11" s="21" t="str"/>
      <x:c r="G11" s="21" t="str"/>
    </x:row>
    <x:row r="12">
      <x:c r="A12" s="21" t="str">
        <x:v>QE03-P01-G08</x:v>
      </x:c>
      <x:c r="B12" s="21" t="str">
        <x:v>QE03-P01</x:v>
      </x:c>
      <x:c r="C12" s="21" t="n">
        <x:v>8</x:v>
      </x:c>
      <x:c r="D12" s="21" t="str">
        <x:v>250 kg aliquot exact</x:v>
      </x:c>
      <x:c r="E12" s="21" t="str">
        <x:v>OPEN</x:v>
      </x:c>
      <x:c r="F12" s="21" t="str"/>
      <x:c r="G12" s="21" t="str"/>
    </x:row>
    <x:row r="13">
      <x:c r="A13" s="21" t="str">
        <x:v>QE03-P01-G09</x:v>
      </x:c>
      <x:c r="B13" s="21" t="str">
        <x:v>QE03-P01</x:v>
      </x:c>
      <x:c r="C13" s="21" t="n">
        <x:v>9</x:v>
      </x:c>
      <x:c r="D13" s="21" t="str">
        <x:v>conditioning custody separate</x:v>
      </x:c>
      <x:c r="E13" s="21" t="str">
        <x:v>OPEN</x:v>
      </x:c>
      <x:c r="F13" s="21" t="str"/>
      <x:c r="G13" s="21" t="str"/>
    </x:row>
    <x:row r="14">
      <x:c r="A14" s="21" t="str">
        <x:v>QE03-P01-G10</x:v>
      </x:c>
      <x:c r="B14" s="21" t="str">
        <x:v>QE03-P01</x:v>
      </x:c>
      <x:c r="C14" s="21" t="n">
        <x:v>10</x:v>
      </x:c>
      <x:c r="D14" s="21" t="str">
        <x:v>incoming baseline current</x:v>
      </x:c>
      <x:c r="E14" s="21" t="str">
        <x:v>OPEN</x:v>
      </x:c>
      <x:c r="F14" s="21" t="str"/>
      <x:c r="G14" s="21" t="str"/>
    </x:row>
    <x:row r="15">
      <x:c r="A15" s="21" t="str">
        <x:v>QE03-P01-G11</x:v>
      </x:c>
      <x:c r="B15" s="21" t="str">
        <x:v>QE03-P01</x:v>
      </x:c>
      <x:c r="C15" s="21" t="n">
        <x:v>11</x:v>
      </x:c>
      <x:c r="D15" s="21" t="str">
        <x:v>rate-extension packet current</x:v>
      </x:c>
      <x:c r="E15" s="21" t="str">
        <x:v>OPEN</x:v>
      </x:c>
      <x:c r="F15" s="21" t="str"/>
      <x:c r="G15" s="21" t="str"/>
    </x:row>
    <x:row r="16">
      <x:c r="A16" s="21" t="str">
        <x:v>QE03-P01-G12</x:v>
      </x:c>
      <x:c r="B16" s="21" t="str">
        <x:v>QE03-P01</x:v>
      </x:c>
      <x:c r="C16" s="21" t="n">
        <x:v>12</x:v>
      </x:c>
      <x:c r="D16" s="21" t="str">
        <x:v>five-square-metre assembly</x:v>
      </x:c>
      <x:c r="E16" s="21" t="str">
        <x:v>OPEN</x:v>
      </x:c>
      <x:c r="F16" s="21" t="str"/>
      <x:c r="G16" s="21" t="str"/>
    </x:row>
    <x:row r="17">
      <x:c r="A17" s="21" t="str">
        <x:v>QE03-P01-G13</x:v>
      </x:c>
      <x:c r="B17" s="21" t="str">
        <x:v>QE03-P01</x:v>
      </x:c>
      <x:c r="C17" s="21" t="n">
        <x:v>13</x:v>
      </x:c>
      <x:c r="D17" s="21" t="str">
        <x:v>receiver low-density capacity</x:v>
      </x:c>
      <x:c r="E17" s="21" t="str">
        <x:v>OPEN</x:v>
      </x:c>
      <x:c r="F17" s="21" t="str"/>
      <x:c r="G17" s="21" t="str"/>
    </x:row>
    <x:row r="18">
      <x:c r="A18" s="21" t="str">
        <x:v>QE03-P01-G14</x:v>
      </x:c>
      <x:c r="B18" s="21" t="str">
        <x:v>QE03-P01</x:v>
      </x:c>
      <x:c r="C18" s="21" t="n">
        <x:v>14</x:v>
      </x:c>
      <x:c r="D18" s="21" t="str">
        <x:v>pressure-wave chain current</x:v>
      </x:c>
      <x:c r="E18" s="21" t="str">
        <x:v>OPEN</x:v>
      </x:c>
      <x:c r="F18" s="21" t="str"/>
      <x:c r="G18" s="21" t="str"/>
    </x:row>
    <x:row r="19">
      <x:c r="A19" s="21" t="str">
        <x:v>QE03-P01-G15</x:v>
      </x:c>
      <x:c r="B19" s="21" t="str">
        <x:v>QE03-P01</x:v>
      </x:c>
      <x:c r="C19" s="21" t="n">
        <x:v>15</x:v>
      </x:c>
      <x:c r="D19" s="21" t="str">
        <x:v>dynamic hold-up root current</x:v>
      </x:c>
      <x:c r="E19" s="21" t="str">
        <x:v>OPEN</x:v>
      </x:c>
      <x:c r="F19" s="21" t="str"/>
      <x:c r="G19" s="21" t="str"/>
    </x:row>
    <x:row r="20">
      <x:c r="A20" s="21" t="str">
        <x:v>QE03-P01-G16</x:v>
      </x:c>
      <x:c r="B20" s="21" t="str">
        <x:v>QE03-P01</x:v>
      </x:c>
      <x:c r="C20" s="21" t="n">
        <x:v>16</x:v>
      </x:c>
      <x:c r="D20" s="21" t="str">
        <x:v>source mass roots current</x:v>
      </x:c>
      <x:c r="E20" s="21" t="str">
        <x:v>OPEN</x:v>
      </x:c>
      <x:c r="F20" s="21" t="str"/>
      <x:c r="G20" s="21" t="str"/>
    </x:row>
    <x:row r="21">
      <x:c r="A21" s="21" t="str">
        <x:v>QE03-P01-G17</x:v>
      </x:c>
      <x:c r="B21" s="21" t="str">
        <x:v>QE03-P01</x:v>
      </x:c>
      <x:c r="C21" s="21" t="n">
        <x:v>17</x:v>
      </x:c>
      <x:c r="D21" s="21" t="str">
        <x:v>zero method-water state observed</x:v>
      </x:c>
      <x:c r="E21" s="21" t="str">
        <x:v>OPEN</x:v>
      </x:c>
      <x:c r="F21" s="21" t="str"/>
      <x:c r="G21" s="21" t="str"/>
    </x:row>
    <x:row r="22">
      <x:c r="A22" s="21" t="str">
        <x:v>QE03-P01-G18</x:v>
      </x:c>
      <x:c r="B22" s="21" t="str">
        <x:v>QE03-P01</x:v>
      </x:c>
      <x:c r="C22" s="21" t="n">
        <x:v>18</x:v>
      </x:c>
      <x:c r="D22" s="21" t="str">
        <x:v>environmental background current</x:v>
      </x:c>
      <x:c r="E22" s="21" t="str">
        <x:v>OPEN</x:v>
      </x:c>
      <x:c r="F22" s="21" t="str"/>
      <x:c r="G22" s="21" t="str"/>
    </x:row>
    <x:row r="23">
      <x:c r="A23" s="21" t="str">
        <x:v>QE03-P01-G19</x:v>
      </x:c>
      <x:c r="B23" s="21" t="str">
        <x:v>QE03-P01</x:v>
      </x:c>
      <x:c r="C23" s="21" t="n">
        <x:v>19</x:v>
      </x:c>
      <x:c r="D23" s="21" t="str">
        <x:v>casualty source path current</x:v>
      </x:c>
      <x:c r="E23" s="21" t="str">
        <x:v>OPEN</x:v>
      </x:c>
      <x:c r="F23" s="21" t="str"/>
      <x:c r="G23" s="21" t="str"/>
    </x:row>
    <x:row r="24">
      <x:c r="A24" s="21" t="str">
        <x:v>QE03-P01-G20</x:v>
      </x:c>
      <x:c r="B24" s="21" t="str">
        <x:v>QE03-P01</x:v>
      </x:c>
      <x:c r="C24" s="21" t="n">
        <x:v>20</x:v>
      </x:c>
      <x:c r="D24" s="21" t="str">
        <x:v>waste destinations current</x:v>
      </x:c>
      <x:c r="E24" s="21" t="str">
        <x:v>OPEN</x:v>
      </x:c>
      <x:c r="F24" s="21" t="str"/>
      <x:c r="G24" s="21" t="str"/>
    </x:row>
    <x:row r="25">
      <x:c r="A25" s="21" t="str">
        <x:v>QE03-P01-G21</x:v>
      </x:c>
      <x:c r="B25" s="21" t="str">
        <x:v>QE03-P01</x:v>
      </x:c>
      <x:c r="C25" s="21" t="n">
        <x:v>21</x:v>
      </x:c>
      <x:c r="D25" s="21" t="str">
        <x:v>sixty-four-position crew</x:v>
      </x:c>
      <x:c r="E25" s="21" t="str">
        <x:v>OPEN</x:v>
      </x:c>
      <x:c r="F25" s="21" t="str"/>
      <x:c r="G25" s="21" t="str"/>
    </x:row>
    <x:row r="26">
      <x:c r="A26" s="21" t="str">
        <x:v>QE03-P01-G22</x:v>
      </x:c>
      <x:c r="B26" s="21" t="str">
        <x:v>QE03-P01</x:v>
      </x:c>
      <x:c r="C26" s="21" t="n">
        <x:v>22</x:v>
      </x:c>
      <x:c r="D26" s="21" t="str">
        <x:v>rescue and exclusion current</x:v>
      </x:c>
      <x:c r="E26" s="21" t="str">
        <x:v>OPEN</x:v>
      </x:c>
      <x:c r="F26" s="21" t="str"/>
      <x:c r="G26" s="21" t="str"/>
    </x:row>
    <x:row r="27">
      <x:c r="A27" s="21" t="str">
        <x:v>QE03-P01-G23</x:v>
      </x:c>
      <x:c r="B27" s="21" t="str">
        <x:v>QE03-P01</x:v>
      </x:c>
      <x:c r="C27" s="21" t="n">
        <x:v>23</x:v>
      </x:c>
      <x:c r="D27" s="21" t="str">
        <x:v>evidence capacity reserved</x:v>
      </x:c>
      <x:c r="E27" s="21" t="str">
        <x:v>OPEN</x:v>
      </x:c>
      <x:c r="F27" s="21" t="str"/>
      <x:c r="G27" s="21" t="str"/>
    </x:row>
    <x:row r="28">
      <x:c r="A28" s="21" t="str">
        <x:v>QE03-P01-G24</x:v>
      </x:c>
      <x:c r="B28" s="21" t="str">
        <x:v>QE03-P01</x:v>
      </x:c>
      <x:c r="C28" s="21" t="n">
        <x:v>24</x:v>
      </x:c>
      <x:c r="D28" s="21" t="str">
        <x:v>two originals armed</x:v>
      </x:c>
      <x:c r="E28" s="21" t="str">
        <x:v>OPEN</x:v>
      </x:c>
      <x:c r="F28" s="21" t="str"/>
      <x:c r="G28" s="21" t="str"/>
    </x:row>
    <x:row r="29">
      <x:c r="A29" s="21" t="str">
        <x:v>QE03-P01-G25</x:v>
      </x:c>
      <x:c r="B29" s="21" t="str">
        <x:v>QE03-P01</x:v>
      </x:c>
      <x:c r="C29" s="21" t="n">
        <x:v>25</x:v>
      </x:c>
      <x:c r="D29" s="21" t="str">
        <x:v>primary and local clocks current</x:v>
      </x:c>
      <x:c r="E29" s="21" t="str">
        <x:v>OPEN</x:v>
      </x:c>
      <x:c r="F29" s="21" t="str"/>
      <x:c r="G29" s="21" t="str"/>
    </x:row>
    <x:row r="30">
      <x:c r="A30" s="21" t="str">
        <x:v>QE03-P01-G26</x:v>
      </x:c>
      <x:c r="B30" s="21" t="str">
        <x:v>QE03-P01</x:v>
      </x:c>
      <x:c r="C30" s="21" t="n">
        <x:v>26</x:v>
      </x:c>
      <x:c r="D30" s="21" t="str">
        <x:v>twelve final elements current</x:v>
      </x:c>
      <x:c r="E30" s="21" t="str">
        <x:v>OPEN</x:v>
      </x:c>
      <x:c r="F30" s="21" t="str"/>
      <x:c r="G30" s="21" t="str"/>
    </x:row>
    <x:row r="31">
      <x:c r="A31" s="21" t="str">
        <x:v>QE03-P01-G27</x:v>
      </x:c>
      <x:c r="B31" s="21" t="str">
        <x:v>QE03-P01</x:v>
      </x:c>
      <x:c r="C31" s="21" t="n">
        <x:v>27</x:v>
      </x:c>
      <x:c r="D31" s="21" t="str">
        <x:v>thirty-six safeing paths current</x:v>
      </x:c>
      <x:c r="E31" s="21" t="str">
        <x:v>OPEN</x:v>
      </x:c>
      <x:c r="F31" s="21" t="str"/>
      <x:c r="G31" s="21" t="str"/>
    </x:row>
    <x:row r="32">
      <x:c r="A32" s="21" t="str">
        <x:v>QE03-P01-G28</x:v>
      </x:c>
      <x:c r="B32" s="21" t="str">
        <x:v>QE03-P01</x:v>
      </x:c>
      <x:c r="C32" s="21" t="n">
        <x:v>28</x:v>
      </x:c>
      <x:c r="D32" s="21" t="str">
        <x:v>safeing path proofs current</x:v>
      </x:c>
      <x:c r="E32" s="21" t="str">
        <x:v>OPEN</x:v>
      </x:c>
      <x:c r="F32" s="21" t="str"/>
      <x:c r="G32" s="21" t="str"/>
    </x:row>
    <x:row r="33">
      <x:c r="A33" s="21" t="str">
        <x:v>QE03-P01-G29</x:v>
      </x:c>
      <x:c r="B33" s="21" t="str">
        <x:v>QE03-P01</x:v>
      </x:c>
      <x:c r="C33" s="21" t="n">
        <x:v>29</x:v>
      </x:c>
      <x:c r="D33" s="21" t="str">
        <x:v>neighbor state accepted</x:v>
      </x:c>
      <x:c r="E33" s="21" t="str">
        <x:v>OPEN</x:v>
      </x:c>
      <x:c r="F33" s="21" t="str"/>
      <x:c r="G33" s="21" t="str"/>
    </x:row>
    <x:row r="34">
      <x:c r="A34" s="21" t="str">
        <x:v>QE03-P01-G30</x:v>
      </x:c>
      <x:c r="B34" s="21" t="str">
        <x:v>QE03-P01</x:v>
      </x:c>
      <x:c r="C34" s="21" t="n">
        <x:v>30</x:v>
      </x:c>
      <x:c r="D34" s="21" t="str">
        <x:v>configuration frozen</x:v>
      </x:c>
      <x:c r="E34" s="21" t="str">
        <x:v>OPEN</x:v>
      </x:c>
      <x:c r="F34" s="21" t="str"/>
      <x:c r="G34" s="21" t="str"/>
    </x:row>
    <x:row r="35">
      <x:c r="A35" s="21" t="str">
        <x:v>QE03-P01-G31</x:v>
      </x:c>
      <x:c r="B35" s="21" t="str">
        <x:v>QE03-P01</x:v>
      </x:c>
      <x:c r="C35" s="21" t="n">
        <x:v>31</x:v>
      </x:c>
      <x:c r="D35" s="21" t="str">
        <x:v>source custody issued</x:v>
      </x:c>
      <x:c r="E35" s="21" t="str">
        <x:v>OPEN</x:v>
      </x:c>
      <x:c r="F35" s="21" t="str"/>
      <x:c r="G35" s="21" t="str"/>
    </x:row>
    <x:row r="36">
      <x:c r="A36" s="21" t="str">
        <x:v>QE03-P01-G32</x:v>
      </x:c>
      <x:c r="B36" s="21" t="str">
        <x:v>QE03-P01</x:v>
      </x:c>
      <x:c r="C36" s="21" t="n">
        <x:v>32</x:v>
      </x:c>
      <x:c r="D36" s="21" t="str">
        <x:v>event clock armed</x:v>
      </x:c>
      <x:c r="E36" s="21" t="str">
        <x:v>OPEN</x:v>
      </x:c>
      <x:c r="F36" s="21" t="str"/>
      <x:c r="G36" s="21" t="str"/>
    </x:row>
    <x:row r="37">
      <x:c r="A37" s="21" t="str">
        <x:v>QE03-P01-G33</x:v>
      </x:c>
      <x:c r="B37" s="21" t="str">
        <x:v>QE03-P01</x:v>
      </x:c>
      <x:c r="C37" s="21" t="n">
        <x:v>33</x:v>
      </x:c>
      <x:c r="D37" s="21" t="str">
        <x:v>registered source command</x:v>
      </x:c>
      <x:c r="E37" s="21" t="str">
        <x:v>OPEN</x:v>
      </x:c>
      <x:c r="F37" s="21" t="str"/>
      <x:c r="G37" s="21" t="str"/>
    </x:row>
    <x:row r="38">
      <x:c r="A38" s="21" t="str">
        <x:v>QE03-P01-G34</x:v>
      </x:c>
      <x:c r="B38" s="21" t="str">
        <x:v>QE03-P01</x:v>
      </x:c>
      <x:c r="C38" s="21" t="n">
        <x:v>34</x:v>
      </x:c>
      <x:c r="D38" s="21" t="str">
        <x:v>terminal-source decision</x:v>
      </x:c>
      <x:c r="E38" s="21" t="str">
        <x:v>OPEN</x:v>
      </x:c>
      <x:c r="F38" s="21" t="str"/>
      <x:c r="G38" s="21" t="str"/>
    </x:row>
    <x:row r="39">
      <x:c r="A39" s="21" t="str">
        <x:v>QE03-P01-G35</x:v>
      </x:c>
      <x:c r="B39" s="21" t="str">
        <x:v>QE03-P01</x:v>
      </x:c>
      <x:c r="C39" s="21" t="n">
        <x:v>35</x:v>
      </x:c>
      <x:c r="D39" s="21" t="str">
        <x:v>pressure and relief decision</x:v>
      </x:c>
      <x:c r="E39" s="21" t="str">
        <x:v>OPEN</x:v>
      </x:c>
      <x:c r="F39" s="21" t="str"/>
      <x:c r="G39" s="21" t="str"/>
    </x:row>
    <x:row r="40">
      <x:c r="A40" s="21" t="str">
        <x:v>QE03-P01-G36</x:v>
      </x:c>
      <x:c r="B40" s="21" t="str">
        <x:v>QE03-P01</x:v>
      </x:c>
      <x:c r="C40" s="21" t="n">
        <x:v>36</x:v>
      </x:c>
      <x:c r="D40" s="21" t="str">
        <x:v>receiver and area decision</x:v>
      </x:c>
      <x:c r="E40" s="21" t="str">
        <x:v>OPEN</x:v>
      </x:c>
      <x:c r="F40" s="21" t="str"/>
      <x:c r="G40" s="21" t="str"/>
    </x:row>
    <x:row r="41">
      <x:c r="A41" s="21" t="str">
        <x:v>QE03-P01-G37</x:v>
      </x:c>
      <x:c r="B41" s="21" t="str">
        <x:v>QE03-P01</x:v>
      </x:c>
      <x:c r="C41" s="21" t="n">
        <x:v>37</x:v>
      </x:c>
      <x:c r="D41" s="21" t="str">
        <x:v>ten source bins closed</x:v>
      </x:c>
      <x:c r="E41" s="21" t="str">
        <x:v>OPEN</x:v>
      </x:c>
      <x:c r="F41" s="21" t="str"/>
      <x:c r="G41" s="21" t="str"/>
    </x:row>
    <x:row r="42">
      <x:c r="A42" s="21" t="str">
        <x:v>QE03-P01-G38</x:v>
      </x:c>
      <x:c r="B42" s="21" t="str">
        <x:v>QE03-P01</x:v>
      </x:c>
      <x:c r="C42" s="21" t="n">
        <x:v>38</x:v>
      </x:c>
      <x:c r="D42" s="21" t="str">
        <x:v>fixed aggregate budgets closed</x:v>
      </x:c>
      <x:c r="E42" s="21" t="str">
        <x:v>OPEN</x:v>
      </x:c>
      <x:c r="F42" s="21" t="str"/>
      <x:c r="G42" s="21" t="str"/>
    </x:row>
    <x:row r="43">
      <x:c r="A43" s="21" t="str">
        <x:v>QE03-P01-G39</x:v>
      </x:c>
      <x:c r="B43" s="21" t="str">
        <x:v>QE03-P01</x:v>
      </x:c>
      <x:c r="C43" s="21" t="n">
        <x:v>39</x:v>
      </x:c>
      <x:c r="D43" s="21" t="str">
        <x:v>expanded uncertainty closed</x:v>
      </x:c>
      <x:c r="E43" s="21" t="str">
        <x:v>OPEN</x:v>
      </x:c>
      <x:c r="F43" s="21" t="str"/>
      <x:c r="G43" s="21" t="str"/>
    </x:row>
    <x:row r="44">
      <x:c r="A44" s="21" t="str">
        <x:v>QE03-P01-G40</x:v>
      </x:c>
      <x:c r="B44" s="21" t="str">
        <x:v>QE03-P01</x:v>
      </x:c>
      <x:c r="C44" s="21" t="n">
        <x:v>40</x:v>
      </x:c>
      <x:c r="D44" s="21" t="str">
        <x:v>ancestry and cross-talk closed</x:v>
      </x:c>
      <x:c r="E44" s="21" t="str">
        <x:v>OPEN</x:v>
      </x:c>
      <x:c r="F44" s="21" t="str"/>
      <x:c r="G44" s="21" t="str"/>
    </x:row>
    <x:row r="45">
      <x:c r="A45" s="21" t="str">
        <x:v>QE03-P01-G41</x:v>
      </x:c>
      <x:c r="B45" s="21" t="str">
        <x:v>QE03-P01</x:v>
      </x:c>
      <x:c r="C45" s="21" t="n">
        <x:v>41</x:v>
      </x:c>
      <x:c r="D45" s="21" t="str">
        <x:v>validity board</x:v>
      </x:c>
      <x:c r="E45" s="21" t="str">
        <x:v>OPEN</x:v>
      </x:c>
      <x:c r="F45" s="21" t="str"/>
      <x:c r="G45" s="21" t="str"/>
    </x:row>
    <x:row r="46">
      <x:c r="A46" s="21" t="str">
        <x:v>QE03-P01-G42</x:v>
      </x:c>
      <x:c r="B46" s="21" t="str">
        <x:v>QE03-P01</x:v>
      </x:c>
      <x:c r="C46" s="21" t="n">
        <x:v>42</x:v>
      </x:c>
      <x:c r="D46" s="21" t="str">
        <x:v>outcome and return authority</x:v>
      </x:c>
      <x:c r="E46" s="21" t="str">
        <x:v>OPEN</x:v>
      </x:c>
      <x:c r="F46" s="21" t="str"/>
      <x:c r="G46" s="21" t="str"/>
    </x:row>
    <x:row r="47">
      <x:c r="A47" s="21" t="str">
        <x:v>QE03-R01-G01</x:v>
      </x:c>
      <x:c r="B47" s="21" t="str">
        <x:v>QE03-R01</x:v>
      </x:c>
      <x:c r="C47" s="21" t="n">
        <x:v>1</x:v>
      </x:c>
      <x:c r="D47" s="21" t="str">
        <x:v>RBB-1 source-transfer accepted</x:v>
      </x:c>
      <x:c r="E47" s="21" t="str">
        <x:v>OPEN</x:v>
      </x:c>
      <x:c r="F47" s="21" t="str"/>
      <x:c r="G47" s="21" t="str"/>
    </x:row>
    <x:row r="48">
      <x:c r="A48" s="21" t="str">
        <x:v>QE03-R01-G02</x:v>
      </x:c>
      <x:c r="B48" s="21" t="str">
        <x:v>QE03-R01</x:v>
      </x:c>
      <x:c r="C48" s="21" t="n">
        <x:v>2</x:v>
      </x:c>
      <x:c r="D48" s="21" t="str">
        <x:v>all twelve cells eligible</x:v>
      </x:c>
      <x:c r="E48" s="21" t="str">
        <x:v>OPEN</x:v>
      </x:c>
      <x:c r="F48" s="21" t="str"/>
      <x:c r="G48" s="21" t="str"/>
    </x:row>
    <x:row r="49">
      <x:c r="A49" s="21" t="str">
        <x:v>QE03-R01-G03</x:v>
      </x:c>
      <x:c r="B49" s="21" t="str">
        <x:v>QE03-R01</x:v>
      </x:c>
      <x:c r="C49" s="21" t="n">
        <x:v>3</x:v>
      </x:c>
      <x:c r="D49" s="21" t="str">
        <x:v>public draw verified</x:v>
      </x:c>
      <x:c r="E49" s="21" t="str">
        <x:v>OPEN</x:v>
      </x:c>
      <x:c r="F49" s="21" t="str"/>
      <x:c r="G49" s="21" t="str"/>
    </x:row>
    <x:row r="50">
      <x:c r="A50" s="21" t="str">
        <x:v>QE03-R01-G04</x:v>
      </x:c>
      <x:c r="B50" s="21" t="str">
        <x:v>QE03-R01</x:v>
      </x:c>
      <x:c r="C50" s="21" t="n">
        <x:v>4</x:v>
      </x:c>
      <x:c r="D50" s="21" t="str">
        <x:v>exact cell current</x:v>
      </x:c>
      <x:c r="E50" s="21" t="str">
        <x:v>OPEN</x:v>
      </x:c>
      <x:c r="F50" s="21" t="str"/>
      <x:c r="G50" s="21" t="str"/>
    </x:row>
    <x:row r="51">
      <x:c r="A51" s="21" t="str">
        <x:v>QE03-R01-G05</x:v>
      </x:c>
      <x:c r="B51" s="21" t="str">
        <x:v>QE03-R01</x:v>
      </x:c>
      <x:c r="C51" s="21" t="n">
        <x:v>5</x:v>
      </x:c>
      <x:c r="D51" s="21" t="str">
        <x:v>attempt token available</x:v>
      </x:c>
      <x:c r="E51" s="21" t="str">
        <x:v>OPEN</x:v>
      </x:c>
      <x:c r="F51" s="21" t="str"/>
      <x:c r="G51" s="21" t="str"/>
    </x:row>
    <x:row r="52">
      <x:c r="A52" s="21" t="str">
        <x:v>QE03-R01-G06</x:v>
      </x:c>
      <x:c r="B52" s="21" t="str">
        <x:v>QE03-R01</x:v>
      </x:c>
      <x:c r="C52" s="21" t="n">
        <x:v>6</x:v>
      </x:c>
      <x:c r="D52" s="21" t="str">
        <x:v>300 kg package accepted</x:v>
      </x:c>
      <x:c r="E52" s="21" t="str">
        <x:v>OPEN</x:v>
      </x:c>
      <x:c r="F52" s="21" t="str"/>
      <x:c r="G52" s="21" t="str"/>
    </x:row>
    <x:row r="53">
      <x:c r="A53" s="21" t="str">
        <x:v>QE03-R01-G07</x:v>
      </x:c>
      <x:c r="B53" s="21" t="str">
        <x:v>QE03-R01</x:v>
      </x:c>
      <x:c r="C53" s="21" t="n">
        <x:v>7</x:v>
      </x:c>
      <x:c r="D53" s="21" t="str">
        <x:v>twelve package characteristics</x:v>
      </x:c>
      <x:c r="E53" s="21" t="str">
        <x:v>OPEN</x:v>
      </x:c>
      <x:c r="F53" s="21" t="str"/>
      <x:c r="G53" s="21" t="str"/>
    </x:row>
    <x:row r="54">
      <x:c r="A54" s="21" t="str">
        <x:v>QE03-R01-G08</x:v>
      </x:c>
      <x:c r="B54" s="21" t="str">
        <x:v>QE03-R01</x:v>
      </x:c>
      <x:c r="C54" s="21" t="n">
        <x:v>8</x:v>
      </x:c>
      <x:c r="D54" s="21" t="str">
        <x:v>250 kg aliquot exact</x:v>
      </x:c>
      <x:c r="E54" s="21" t="str">
        <x:v>OPEN</x:v>
      </x:c>
      <x:c r="F54" s="21" t="str"/>
      <x:c r="G54" s="21" t="str"/>
    </x:row>
    <x:row r="55">
      <x:c r="A55" s="21" t="str">
        <x:v>QE03-R01-G09</x:v>
      </x:c>
      <x:c r="B55" s="21" t="str">
        <x:v>QE03-R01</x:v>
      </x:c>
      <x:c r="C55" s="21" t="n">
        <x:v>9</x:v>
      </x:c>
      <x:c r="D55" s="21" t="str">
        <x:v>conditioning custody separate</x:v>
      </x:c>
      <x:c r="E55" s="21" t="str">
        <x:v>OPEN</x:v>
      </x:c>
      <x:c r="F55" s="21" t="str"/>
      <x:c r="G55" s="21" t="str"/>
    </x:row>
    <x:row r="56">
      <x:c r="A56" s="21" t="str">
        <x:v>QE03-R01-G10</x:v>
      </x:c>
      <x:c r="B56" s="21" t="str">
        <x:v>QE03-R01</x:v>
      </x:c>
      <x:c r="C56" s="21" t="n">
        <x:v>10</x:v>
      </x:c>
      <x:c r="D56" s="21" t="str">
        <x:v>incoming baseline current</x:v>
      </x:c>
      <x:c r="E56" s="21" t="str">
        <x:v>OPEN</x:v>
      </x:c>
      <x:c r="F56" s="21" t="str"/>
      <x:c r="G56" s="21" t="str"/>
    </x:row>
    <x:row r="57">
      <x:c r="A57" s="21" t="str">
        <x:v>QE03-R01-G11</x:v>
      </x:c>
      <x:c r="B57" s="21" t="str">
        <x:v>QE03-R01</x:v>
      </x:c>
      <x:c r="C57" s="21" t="n">
        <x:v>11</x:v>
      </x:c>
      <x:c r="D57" s="21" t="str">
        <x:v>rate-extension packet current</x:v>
      </x:c>
      <x:c r="E57" s="21" t="str">
        <x:v>OPEN</x:v>
      </x:c>
      <x:c r="F57" s="21" t="str"/>
      <x:c r="G57" s="21" t="str"/>
    </x:row>
    <x:row r="58">
      <x:c r="A58" s="21" t="str">
        <x:v>QE03-R01-G12</x:v>
      </x:c>
      <x:c r="B58" s="21" t="str">
        <x:v>QE03-R01</x:v>
      </x:c>
      <x:c r="C58" s="21" t="n">
        <x:v>12</x:v>
      </x:c>
      <x:c r="D58" s="21" t="str">
        <x:v>five-square-metre assembly</x:v>
      </x:c>
      <x:c r="E58" s="21" t="str">
        <x:v>OPEN</x:v>
      </x:c>
      <x:c r="F58" s="21" t="str"/>
      <x:c r="G58" s="21" t="str"/>
    </x:row>
    <x:row r="59">
      <x:c r="A59" s="21" t="str">
        <x:v>QE03-R01-G13</x:v>
      </x:c>
      <x:c r="B59" s="21" t="str">
        <x:v>QE03-R01</x:v>
      </x:c>
      <x:c r="C59" s="21" t="n">
        <x:v>13</x:v>
      </x:c>
      <x:c r="D59" s="21" t="str">
        <x:v>receiver low-density capacity</x:v>
      </x:c>
      <x:c r="E59" s="21" t="str">
        <x:v>OPEN</x:v>
      </x:c>
      <x:c r="F59" s="21" t="str"/>
      <x:c r="G59" s="21" t="str"/>
    </x:row>
    <x:row r="60">
      <x:c r="A60" s="21" t="str">
        <x:v>QE03-R01-G14</x:v>
      </x:c>
      <x:c r="B60" s="21" t="str">
        <x:v>QE03-R01</x:v>
      </x:c>
      <x:c r="C60" s="21" t="n">
        <x:v>14</x:v>
      </x:c>
      <x:c r="D60" s="21" t="str">
        <x:v>pressure-wave chain current</x:v>
      </x:c>
      <x:c r="E60" s="21" t="str">
        <x:v>OPEN</x:v>
      </x:c>
      <x:c r="F60" s="21" t="str"/>
      <x:c r="G60" s="21" t="str"/>
    </x:row>
    <x:row r="61">
      <x:c r="A61" s="21" t="str">
        <x:v>QE03-R01-G15</x:v>
      </x:c>
      <x:c r="B61" s="21" t="str">
        <x:v>QE03-R01</x:v>
      </x:c>
      <x:c r="C61" s="21" t="n">
        <x:v>15</x:v>
      </x:c>
      <x:c r="D61" s="21" t="str">
        <x:v>dynamic hold-up root current</x:v>
      </x:c>
      <x:c r="E61" s="21" t="str">
        <x:v>OPEN</x:v>
      </x:c>
      <x:c r="F61" s="21" t="str"/>
      <x:c r="G61" s="21" t="str"/>
    </x:row>
    <x:row r="62">
      <x:c r="A62" s="21" t="str">
        <x:v>QE03-R01-G16</x:v>
      </x:c>
      <x:c r="B62" s="21" t="str">
        <x:v>QE03-R01</x:v>
      </x:c>
      <x:c r="C62" s="21" t="n">
        <x:v>16</x:v>
      </x:c>
      <x:c r="D62" s="21" t="str">
        <x:v>source mass roots current</x:v>
      </x:c>
      <x:c r="E62" s="21" t="str">
        <x:v>OPEN</x:v>
      </x:c>
      <x:c r="F62" s="21" t="str"/>
      <x:c r="G62" s="21" t="str"/>
    </x:row>
    <x:row r="63">
      <x:c r="A63" s="21" t="str">
        <x:v>QE03-R01-G17</x:v>
      </x:c>
      <x:c r="B63" s="21" t="str">
        <x:v>QE03-R01</x:v>
      </x:c>
      <x:c r="C63" s="21" t="n">
        <x:v>17</x:v>
      </x:c>
      <x:c r="D63" s="21" t="str">
        <x:v>zero method-water state observed</x:v>
      </x:c>
      <x:c r="E63" s="21" t="str">
        <x:v>OPEN</x:v>
      </x:c>
      <x:c r="F63" s="21" t="str"/>
      <x:c r="G63" s="21" t="str"/>
    </x:row>
    <x:row r="64">
      <x:c r="A64" s="21" t="str">
        <x:v>QE03-R01-G18</x:v>
      </x:c>
      <x:c r="B64" s="21" t="str">
        <x:v>QE03-R01</x:v>
      </x:c>
      <x:c r="C64" s="21" t="n">
        <x:v>18</x:v>
      </x:c>
      <x:c r="D64" s="21" t="str">
        <x:v>environmental background current</x:v>
      </x:c>
      <x:c r="E64" s="21" t="str">
        <x:v>OPEN</x:v>
      </x:c>
      <x:c r="F64" s="21" t="str"/>
      <x:c r="G64" s="21" t="str"/>
    </x:row>
    <x:row r="65">
      <x:c r="A65" s="21" t="str">
        <x:v>QE03-R01-G19</x:v>
      </x:c>
      <x:c r="B65" s="21" t="str">
        <x:v>QE03-R01</x:v>
      </x:c>
      <x:c r="C65" s="21" t="n">
        <x:v>19</x:v>
      </x:c>
      <x:c r="D65" s="21" t="str">
        <x:v>casualty source path current</x:v>
      </x:c>
      <x:c r="E65" s="21" t="str">
        <x:v>OPEN</x:v>
      </x:c>
      <x:c r="F65" s="21" t="str"/>
      <x:c r="G65" s="21" t="str"/>
    </x:row>
    <x:row r="66">
      <x:c r="A66" s="21" t="str">
        <x:v>QE03-R01-G20</x:v>
      </x:c>
      <x:c r="B66" s="21" t="str">
        <x:v>QE03-R01</x:v>
      </x:c>
      <x:c r="C66" s="21" t="n">
        <x:v>20</x:v>
      </x:c>
      <x:c r="D66" s="21" t="str">
        <x:v>waste destinations current</x:v>
      </x:c>
      <x:c r="E66" s="21" t="str">
        <x:v>OPEN</x:v>
      </x:c>
      <x:c r="F66" s="21" t="str"/>
      <x:c r="G66" s="21" t="str"/>
    </x:row>
    <x:row r="67">
      <x:c r="A67" s="21" t="str">
        <x:v>QE03-R01-G21</x:v>
      </x:c>
      <x:c r="B67" s="21" t="str">
        <x:v>QE03-R01</x:v>
      </x:c>
      <x:c r="C67" s="21" t="n">
        <x:v>21</x:v>
      </x:c>
      <x:c r="D67" s="21" t="str">
        <x:v>sixty-four-position crew</x:v>
      </x:c>
      <x:c r="E67" s="21" t="str">
        <x:v>OPEN</x:v>
      </x:c>
      <x:c r="F67" s="21" t="str"/>
      <x:c r="G67" s="21" t="str"/>
    </x:row>
    <x:row r="68">
      <x:c r="A68" s="21" t="str">
        <x:v>QE03-R01-G22</x:v>
      </x:c>
      <x:c r="B68" s="21" t="str">
        <x:v>QE03-R01</x:v>
      </x:c>
      <x:c r="C68" s="21" t="n">
        <x:v>22</x:v>
      </x:c>
      <x:c r="D68" s="21" t="str">
        <x:v>rescue and exclusion current</x:v>
      </x:c>
      <x:c r="E68" s="21" t="str">
        <x:v>OPEN</x:v>
      </x:c>
      <x:c r="F68" s="21" t="str"/>
      <x:c r="G68" s="21" t="str"/>
    </x:row>
    <x:row r="69">
      <x:c r="A69" s="21" t="str">
        <x:v>QE03-R01-G23</x:v>
      </x:c>
      <x:c r="B69" s="21" t="str">
        <x:v>QE03-R01</x:v>
      </x:c>
      <x:c r="C69" s="21" t="n">
        <x:v>23</x:v>
      </x:c>
      <x:c r="D69" s="21" t="str">
        <x:v>evidence capacity reserved</x:v>
      </x:c>
      <x:c r="E69" s="21" t="str">
        <x:v>OPEN</x:v>
      </x:c>
      <x:c r="F69" s="21" t="str"/>
      <x:c r="G69" s="21" t="str"/>
    </x:row>
    <x:row r="70">
      <x:c r="A70" s="21" t="str">
        <x:v>QE03-R01-G24</x:v>
      </x:c>
      <x:c r="B70" s="21" t="str">
        <x:v>QE03-R01</x:v>
      </x:c>
      <x:c r="C70" s="21" t="n">
        <x:v>24</x:v>
      </x:c>
      <x:c r="D70" s="21" t="str">
        <x:v>two originals armed</x:v>
      </x:c>
      <x:c r="E70" s="21" t="str">
        <x:v>OPEN</x:v>
      </x:c>
      <x:c r="F70" s="21" t="str"/>
      <x:c r="G70" s="21" t="str"/>
    </x:row>
    <x:row r="71">
      <x:c r="A71" s="21" t="str">
        <x:v>QE03-R01-G25</x:v>
      </x:c>
      <x:c r="B71" s="21" t="str">
        <x:v>QE03-R01</x:v>
      </x:c>
      <x:c r="C71" s="21" t="n">
        <x:v>25</x:v>
      </x:c>
      <x:c r="D71" s="21" t="str">
        <x:v>primary and local clocks current</x:v>
      </x:c>
      <x:c r="E71" s="21" t="str">
        <x:v>OPEN</x:v>
      </x:c>
      <x:c r="F71" s="21" t="str"/>
      <x:c r="G71" s="21" t="str"/>
    </x:row>
    <x:row r="72">
      <x:c r="A72" s="21" t="str">
        <x:v>QE03-R01-G26</x:v>
      </x:c>
      <x:c r="B72" s="21" t="str">
        <x:v>QE03-R01</x:v>
      </x:c>
      <x:c r="C72" s="21" t="n">
        <x:v>26</x:v>
      </x:c>
      <x:c r="D72" s="21" t="str">
        <x:v>twelve final elements current</x:v>
      </x:c>
      <x:c r="E72" s="21" t="str">
        <x:v>OPEN</x:v>
      </x:c>
      <x:c r="F72" s="21" t="str"/>
      <x:c r="G72" s="21" t="str"/>
    </x:row>
    <x:row r="73">
      <x:c r="A73" s="21" t="str">
        <x:v>QE03-R01-G27</x:v>
      </x:c>
      <x:c r="B73" s="21" t="str">
        <x:v>QE03-R01</x:v>
      </x:c>
      <x:c r="C73" s="21" t="n">
        <x:v>27</x:v>
      </x:c>
      <x:c r="D73" s="21" t="str">
        <x:v>thirty-six safeing paths current</x:v>
      </x:c>
      <x:c r="E73" s="21" t="str">
        <x:v>OPEN</x:v>
      </x:c>
      <x:c r="F73" s="21" t="str"/>
      <x:c r="G73" s="21" t="str"/>
    </x:row>
    <x:row r="74">
      <x:c r="A74" s="21" t="str">
        <x:v>QE03-R01-G28</x:v>
      </x:c>
      <x:c r="B74" s="21" t="str">
        <x:v>QE03-R01</x:v>
      </x:c>
      <x:c r="C74" s="21" t="n">
        <x:v>28</x:v>
      </x:c>
      <x:c r="D74" s="21" t="str">
        <x:v>safeing path proofs current</x:v>
      </x:c>
      <x:c r="E74" s="21" t="str">
        <x:v>OPEN</x:v>
      </x:c>
      <x:c r="F74" s="21" t="str"/>
      <x:c r="G74" s="21" t="str"/>
    </x:row>
    <x:row r="75">
      <x:c r="A75" s="21" t="str">
        <x:v>QE03-R01-G29</x:v>
      </x:c>
      <x:c r="B75" s="21" t="str">
        <x:v>QE03-R01</x:v>
      </x:c>
      <x:c r="C75" s="21" t="n">
        <x:v>29</x:v>
      </x:c>
      <x:c r="D75" s="21" t="str">
        <x:v>neighbor state accepted</x:v>
      </x:c>
      <x:c r="E75" s="21" t="str">
        <x:v>OPEN</x:v>
      </x:c>
      <x:c r="F75" s="21" t="str"/>
      <x:c r="G75" s="21" t="str"/>
    </x:row>
    <x:row r="76">
      <x:c r="A76" s="21" t="str">
        <x:v>QE03-R01-G30</x:v>
      </x:c>
      <x:c r="B76" s="21" t="str">
        <x:v>QE03-R01</x:v>
      </x:c>
      <x:c r="C76" s="21" t="n">
        <x:v>30</x:v>
      </x:c>
      <x:c r="D76" s="21" t="str">
        <x:v>configuration frozen</x:v>
      </x:c>
      <x:c r="E76" s="21" t="str">
        <x:v>OPEN</x:v>
      </x:c>
      <x:c r="F76" s="21" t="str"/>
      <x:c r="G76" s="21" t="str"/>
    </x:row>
    <x:row r="77">
      <x:c r="A77" s="21" t="str">
        <x:v>QE03-R01-G31</x:v>
      </x:c>
      <x:c r="B77" s="21" t="str">
        <x:v>QE03-R01</x:v>
      </x:c>
      <x:c r="C77" s="21" t="n">
        <x:v>31</x:v>
      </x:c>
      <x:c r="D77" s="21" t="str">
        <x:v>source custody issued</x:v>
      </x:c>
      <x:c r="E77" s="21" t="str">
        <x:v>OPEN</x:v>
      </x:c>
      <x:c r="F77" s="21" t="str"/>
      <x:c r="G77" s="21" t="str"/>
    </x:row>
    <x:row r="78">
      <x:c r="A78" s="21" t="str">
        <x:v>QE03-R01-G32</x:v>
      </x:c>
      <x:c r="B78" s="21" t="str">
        <x:v>QE03-R01</x:v>
      </x:c>
      <x:c r="C78" s="21" t="n">
        <x:v>32</x:v>
      </x:c>
      <x:c r="D78" s="21" t="str">
        <x:v>event clock armed</x:v>
      </x:c>
      <x:c r="E78" s="21" t="str">
        <x:v>OPEN</x:v>
      </x:c>
      <x:c r="F78" s="21" t="str"/>
      <x:c r="G78" s="21" t="str"/>
    </x:row>
    <x:row r="79">
      <x:c r="A79" s="21" t="str">
        <x:v>QE03-R01-G33</x:v>
      </x:c>
      <x:c r="B79" s="21" t="str">
        <x:v>QE03-R01</x:v>
      </x:c>
      <x:c r="C79" s="21" t="n">
        <x:v>33</x:v>
      </x:c>
      <x:c r="D79" s="21" t="str">
        <x:v>registered source command</x:v>
      </x:c>
      <x:c r="E79" s="21" t="str">
        <x:v>OPEN</x:v>
      </x:c>
      <x:c r="F79" s="21" t="str"/>
      <x:c r="G79" s="21" t="str"/>
    </x:row>
    <x:row r="80">
      <x:c r="A80" s="21" t="str">
        <x:v>QE03-R01-G34</x:v>
      </x:c>
      <x:c r="B80" s="21" t="str">
        <x:v>QE03-R01</x:v>
      </x:c>
      <x:c r="C80" s="21" t="n">
        <x:v>34</x:v>
      </x:c>
      <x:c r="D80" s="21" t="str">
        <x:v>terminal-source decision</x:v>
      </x:c>
      <x:c r="E80" s="21" t="str">
        <x:v>OPEN</x:v>
      </x:c>
      <x:c r="F80" s="21" t="str"/>
      <x:c r="G80" s="21" t="str"/>
    </x:row>
    <x:row r="81">
      <x:c r="A81" s="21" t="str">
        <x:v>QE03-R01-G35</x:v>
      </x:c>
      <x:c r="B81" s="21" t="str">
        <x:v>QE03-R01</x:v>
      </x:c>
      <x:c r="C81" s="21" t="n">
        <x:v>35</x:v>
      </x:c>
      <x:c r="D81" s="21" t="str">
        <x:v>pressure and relief decision</x:v>
      </x:c>
      <x:c r="E81" s="21" t="str">
        <x:v>OPEN</x:v>
      </x:c>
      <x:c r="F81" s="21" t="str"/>
      <x:c r="G81" s="21" t="str"/>
    </x:row>
    <x:row r="82">
      <x:c r="A82" s="21" t="str">
        <x:v>QE03-R01-G36</x:v>
      </x:c>
      <x:c r="B82" s="21" t="str">
        <x:v>QE03-R01</x:v>
      </x:c>
      <x:c r="C82" s="21" t="n">
        <x:v>36</x:v>
      </x:c>
      <x:c r="D82" s="21" t="str">
        <x:v>receiver and area decision</x:v>
      </x:c>
      <x:c r="E82" s="21" t="str">
        <x:v>OPEN</x:v>
      </x:c>
      <x:c r="F82" s="21" t="str"/>
      <x:c r="G82" s="21" t="str"/>
    </x:row>
    <x:row r="83">
      <x:c r="A83" s="21" t="str">
        <x:v>QE03-R01-G37</x:v>
      </x:c>
      <x:c r="B83" s="21" t="str">
        <x:v>QE03-R01</x:v>
      </x:c>
      <x:c r="C83" s="21" t="n">
        <x:v>37</x:v>
      </x:c>
      <x:c r="D83" s="21" t="str">
        <x:v>ten source bins closed</x:v>
      </x:c>
      <x:c r="E83" s="21" t="str">
        <x:v>OPEN</x:v>
      </x:c>
      <x:c r="F83" s="21" t="str"/>
      <x:c r="G83" s="21" t="str"/>
    </x:row>
    <x:row r="84">
      <x:c r="A84" s="21" t="str">
        <x:v>QE03-R01-G38</x:v>
      </x:c>
      <x:c r="B84" s="21" t="str">
        <x:v>QE03-R01</x:v>
      </x:c>
      <x:c r="C84" s="21" t="n">
        <x:v>38</x:v>
      </x:c>
      <x:c r="D84" s="21" t="str">
        <x:v>fixed aggregate budgets closed</x:v>
      </x:c>
      <x:c r="E84" s="21" t="str">
        <x:v>OPEN</x:v>
      </x:c>
      <x:c r="F84" s="21" t="str"/>
      <x:c r="G84" s="21" t="str"/>
    </x:row>
    <x:row r="85">
      <x:c r="A85" s="21" t="str">
        <x:v>QE03-R01-G39</x:v>
      </x:c>
      <x:c r="B85" s="21" t="str">
        <x:v>QE03-R01</x:v>
      </x:c>
      <x:c r="C85" s="21" t="n">
        <x:v>39</x:v>
      </x:c>
      <x:c r="D85" s="21" t="str">
        <x:v>expanded uncertainty closed</x:v>
      </x:c>
      <x:c r="E85" s="21" t="str">
        <x:v>OPEN</x:v>
      </x:c>
      <x:c r="F85" s="21" t="str"/>
      <x:c r="G85" s="21" t="str"/>
    </x:row>
    <x:row r="86">
      <x:c r="A86" s="21" t="str">
        <x:v>QE03-R01-G40</x:v>
      </x:c>
      <x:c r="B86" s="21" t="str">
        <x:v>QE03-R01</x:v>
      </x:c>
      <x:c r="C86" s="21" t="n">
        <x:v>40</x:v>
      </x:c>
      <x:c r="D86" s="21" t="str">
        <x:v>ancestry and cross-talk closed</x:v>
      </x:c>
      <x:c r="E86" s="21" t="str">
        <x:v>OPEN</x:v>
      </x:c>
      <x:c r="F86" s="21" t="str"/>
      <x:c r="G86" s="21" t="str"/>
    </x:row>
    <x:row r="87">
      <x:c r="A87" s="21" t="str">
        <x:v>QE03-R01-G41</x:v>
      </x:c>
      <x:c r="B87" s="21" t="str">
        <x:v>QE03-R01</x:v>
      </x:c>
      <x:c r="C87" s="21" t="n">
        <x:v>41</x:v>
      </x:c>
      <x:c r="D87" s="21" t="str">
        <x:v>validity board</x:v>
      </x:c>
      <x:c r="E87" s="21" t="str">
        <x:v>OPEN</x:v>
      </x:c>
      <x:c r="F87" s="21" t="str"/>
      <x:c r="G87" s="21" t="str"/>
    </x:row>
    <x:row r="88">
      <x:c r="A88" s="21" t="str">
        <x:v>QE03-R01-G42</x:v>
      </x:c>
      <x:c r="B88" s="21" t="str">
        <x:v>QE03-R01</x:v>
      </x:c>
      <x:c r="C88" s="21" t="n">
        <x:v>42</x:v>
      </x:c>
      <x:c r="D88" s="21" t="str">
        <x:v>outcome and return authority</x:v>
      </x:c>
      <x:c r="E88" s="21" t="str">
        <x:v>OPEN</x:v>
      </x:c>
      <x:c r="F88" s="21" t="str"/>
      <x:c r="G88" s="21" t="str"/>
    </x:row>
  </x:sheetData>
  <x:conditionalFormatting sqref="E5:E88">
    <x:cfRule type="containsText" dxfId="60" priority="1" operator="containsText" text="PASS"/>
    <x:cfRule type="containsText" dxfId="61" priority="2" operator="containsText" text="ACCEPTED"/>
    <x:cfRule type="containsText" dxfId="62" priority="3" operator="containsText" text="OPEN"/>
    <x:cfRule type="containsText" dxfId="63" priority="4" operator="containsText" text="BLOCKED"/>
    <x:cfRule type="containsText" dxfId="64" priority="5" operator="containsText" text="FAIL"/>
    <x:cfRule type="containsText" dxfId="65" priority="6" operator="containsText" text="STOP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4" hidden="0" customWidth="1"/>
    <x:col min="4" max="4" width="31" hidden="0" customWidth="1"/>
    <x:col min="5" max="5" width="17" hidden="0" customWidth="1"/>
    <x:col min="6" max="6" width="15" hidden="0" customWidth="1"/>
    <x:col min="7" max="7" width="27" hidden="0" customWidth="1"/>
    <x:col min="8" max="8" width="27" hidden="0" customWidth="1"/>
  </x:cols>
  <x:sheetData>
    <x:row r="1" ht="28" customHeight="1">
      <x:c r="A1" s="17" t="str">
        <x:v>Two complete 217-object dossiers</x:v>
      </x:c>
      <x:c r="B1" s="17"/>
      <x:c r="C1" s="17"/>
      <x:c r="D1" s="17"/>
      <x:c r="E1" s="17"/>
      <x:c r="F1" s="17"/>
      <x:c r="G1" s="17"/>
      <x:c r="H1" s="17"/>
    </x:row>
    <x:row r="2" ht="34" customHeight="1">
      <x:c r="A2" s="18" t="str">
        <x:v>A replacement receives new identities and cannot copy the primary packet.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Binding</x:v>
      </x:c>
      <x:c r="B4" s="20" t="str">
        <x:v>Token</x:v>
      </x:c>
      <x:c r="C4" s="20" t="str">
        <x:v>Ordinal</x:v>
      </x:c>
      <x:c r="D4" s="20" t="str">
        <x:v>Object class</x:v>
      </x:c>
      <x:c r="E4" s="20" t="str">
        <x:v>Class ordinal</x:v>
      </x:c>
      <x:c r="F4" s="20" t="str">
        <x:v>State</x:v>
      </x:c>
      <x:c r="G4" s="20" t="str">
        <x:v>Object identity</x:v>
      </x:c>
      <x:c r="H4" s="20" t="str">
        <x:v>Evidence root</x:v>
      </x:c>
    </x:row>
    <x:row r="5">
      <x:c r="A5" s="21" t="str">
        <x:v>QE03-P01-D001</x:v>
      </x:c>
      <x:c r="B5" s="21" t="str">
        <x:v>QE03-P01</x:v>
      </x:c>
      <x:c r="C5" s="21" t="n">
        <x:v>1</x:v>
      </x:c>
      <x:c r="D5" s="21" t="str">
        <x:v>reference article</x:v>
      </x:c>
      <x:c r="E5" s="21" t="n">
        <x:v>1</x:v>
      </x:c>
      <x:c r="F5" s="21" t="str">
        <x:v>OPEN</x:v>
      </x:c>
      <x:c r="G5" s="21" t="str"/>
      <x:c r="H5" s="21" t="str"/>
    </x:row>
    <x:row r="6">
      <x:c r="A6" s="21" t="str">
        <x:v>QE03-P01-D002</x:v>
      </x:c>
      <x:c r="B6" s="21" t="str">
        <x:v>QE03-P01</x:v>
      </x:c>
      <x:c r="C6" s="21" t="n">
        <x:v>2</x:v>
      </x:c>
      <x:c r="D6" s="21" t="str">
        <x:v>controlled cell sections</x:v>
      </x:c>
      <x:c r="E6" s="21" t="n">
        <x:v>1</x:v>
      </x:c>
      <x:c r="F6" s="21" t="str">
        <x:v>OPEN</x:v>
      </x:c>
      <x:c r="G6" s="21" t="str"/>
      <x:c r="H6" s="21" t="str"/>
    </x:row>
    <x:row r="7">
      <x:c r="A7" s="21" t="str">
        <x:v>QE03-P01-D003</x:v>
      </x:c>
      <x:c r="B7" s="21" t="str">
        <x:v>QE03-P01</x:v>
      </x:c>
      <x:c r="C7" s="21" t="n">
        <x:v>3</x:v>
      </x:c>
      <x:c r="D7" s="21" t="str">
        <x:v>controlled cell sections</x:v>
      </x:c>
      <x:c r="E7" s="21" t="n">
        <x:v>2</x:v>
      </x:c>
      <x:c r="F7" s="21" t="str">
        <x:v>OPEN</x:v>
      </x:c>
      <x:c r="G7" s="21" t="str"/>
      <x:c r="H7" s="21" t="str"/>
    </x:row>
    <x:row r="8">
      <x:c r="A8" s="21" t="str">
        <x:v>QE03-P01-D004</x:v>
      </x:c>
      <x:c r="B8" s="21" t="str">
        <x:v>QE03-P01</x:v>
      </x:c>
      <x:c r="C8" s="21" t="n">
        <x:v>4</x:v>
      </x:c>
      <x:c r="D8" s="21" t="str">
        <x:v>controlled cell sections</x:v>
      </x:c>
      <x:c r="E8" s="21" t="n">
        <x:v>3</x:v>
      </x:c>
      <x:c r="F8" s="21" t="str">
        <x:v>OPEN</x:v>
      </x:c>
      <x:c r="G8" s="21" t="str"/>
      <x:c r="H8" s="21" t="str"/>
    </x:row>
    <x:row r="9">
      <x:c r="A9" s="21" t="str">
        <x:v>QE03-P01-D005</x:v>
      </x:c>
      <x:c r="B9" s="21" t="str">
        <x:v>QE03-P01</x:v>
      </x:c>
      <x:c r="C9" s="21" t="n">
        <x:v>5</x:v>
      </x:c>
      <x:c r="D9" s="21" t="str">
        <x:v>controlled cell sections</x:v>
      </x:c>
      <x:c r="E9" s="21" t="n">
        <x:v>4</x:v>
      </x:c>
      <x:c r="F9" s="21" t="str">
        <x:v>OPEN</x:v>
      </x:c>
      <x:c r="G9" s="21" t="str"/>
      <x:c r="H9" s="21" t="str"/>
    </x:row>
    <x:row r="10">
      <x:c r="A10" s="21" t="str">
        <x:v>QE03-P01-D006</x:v>
      </x:c>
      <x:c r="B10" s="21" t="str">
        <x:v>QE03-P01</x:v>
      </x:c>
      <x:c r="C10" s="21" t="n">
        <x:v>6</x:v>
      </x:c>
      <x:c r="D10" s="21" t="str">
        <x:v>controlled cell sections</x:v>
      </x:c>
      <x:c r="E10" s="21" t="n">
        <x:v>5</x:v>
      </x:c>
      <x:c r="F10" s="21" t="str">
        <x:v>OPEN</x:v>
      </x:c>
      <x:c r="G10" s="21" t="str"/>
      <x:c r="H10" s="21" t="str"/>
    </x:row>
    <x:row r="11">
      <x:c r="A11" s="21" t="str">
        <x:v>QE03-P01-D007</x:v>
      </x:c>
      <x:c r="B11" s="21" t="str">
        <x:v>QE03-P01</x:v>
      </x:c>
      <x:c r="C11" s="21" t="n">
        <x:v>7</x:v>
      </x:c>
      <x:c r="D11" s="21" t="str">
        <x:v>controlled cell sections</x:v>
      </x:c>
      <x:c r="E11" s="21" t="n">
        <x:v>6</x:v>
      </x:c>
      <x:c r="F11" s="21" t="str">
        <x:v>OPEN</x:v>
      </x:c>
      <x:c r="G11" s="21" t="str"/>
      <x:c r="H11" s="21" t="str"/>
    </x:row>
    <x:row r="12">
      <x:c r="A12" s="21" t="str">
        <x:v>QE03-P01-D008</x:v>
      </x:c>
      <x:c r="B12" s="21" t="str">
        <x:v>QE03-P01</x:v>
      </x:c>
      <x:c r="C12" s="21" t="n">
        <x:v>8</x:v>
      </x:c>
      <x:c r="D12" s="21" t="str">
        <x:v>controlled cell sections</x:v>
      </x:c>
      <x:c r="E12" s="21" t="n">
        <x:v>7</x:v>
      </x:c>
      <x:c r="F12" s="21" t="str">
        <x:v>OPEN</x:v>
      </x:c>
      <x:c r="G12" s="21" t="str"/>
      <x:c r="H12" s="21" t="str"/>
    </x:row>
    <x:row r="13">
      <x:c r="A13" s="21" t="str">
        <x:v>QE03-P01-D009</x:v>
      </x:c>
      <x:c r="B13" s="21" t="str">
        <x:v>QE03-P01</x:v>
      </x:c>
      <x:c r="C13" s="21" t="n">
        <x:v>9</x:v>
      </x:c>
      <x:c r="D13" s="21" t="str">
        <x:v>controlled cell sections</x:v>
      </x:c>
      <x:c r="E13" s="21" t="n">
        <x:v>8</x:v>
      </x:c>
      <x:c r="F13" s="21" t="str">
        <x:v>OPEN</x:v>
      </x:c>
      <x:c r="G13" s="21" t="str"/>
      <x:c r="H13" s="21" t="str"/>
    </x:row>
    <x:row r="14">
      <x:c r="A14" s="21" t="str">
        <x:v>QE03-P01-D010</x:v>
      </x:c>
      <x:c r="B14" s="21" t="str">
        <x:v>QE03-P01</x:v>
      </x:c>
      <x:c r="C14" s="21" t="n">
        <x:v>10</x:v>
      </x:c>
      <x:c r="D14" s="21" t="str">
        <x:v>controlled cell sections</x:v>
      </x:c>
      <x:c r="E14" s="21" t="n">
        <x:v>9</x:v>
      </x:c>
      <x:c r="F14" s="21" t="str">
        <x:v>OPEN</x:v>
      </x:c>
      <x:c r="G14" s="21" t="str"/>
      <x:c r="H14" s="21" t="str"/>
    </x:row>
    <x:row r="15">
      <x:c r="A15" s="21" t="str">
        <x:v>QE03-P01-D011</x:v>
      </x:c>
      <x:c r="B15" s="21" t="str">
        <x:v>QE03-P01</x:v>
      </x:c>
      <x:c r="C15" s="21" t="n">
        <x:v>11</x:v>
      </x:c>
      <x:c r="D15" s="21" t="str">
        <x:v>controlled cell sections</x:v>
      </x:c>
      <x:c r="E15" s="21" t="n">
        <x:v>10</x:v>
      </x:c>
      <x:c r="F15" s="21" t="str">
        <x:v>OPEN</x:v>
      </x:c>
      <x:c r="G15" s="21" t="str"/>
      <x:c r="H15" s="21" t="str"/>
    </x:row>
    <x:row r="16">
      <x:c r="A16" s="21" t="str">
        <x:v>QE03-P01-D012</x:v>
      </x:c>
      <x:c r="B16" s="21" t="str">
        <x:v>QE03-P01</x:v>
      </x:c>
      <x:c r="C16" s="21" t="n">
        <x:v>12</x:v>
      </x:c>
      <x:c r="D16" s="21" t="str">
        <x:v>controlled cell sections</x:v>
      </x:c>
      <x:c r="E16" s="21" t="n">
        <x:v>11</x:v>
      </x:c>
      <x:c r="F16" s="21" t="str">
        <x:v>OPEN</x:v>
      </x:c>
      <x:c r="G16" s="21" t="str"/>
      <x:c r="H16" s="21" t="str"/>
    </x:row>
    <x:row r="17">
      <x:c r="A17" s="21" t="str">
        <x:v>QE03-P01-D013</x:v>
      </x:c>
      <x:c r="B17" s="21" t="str">
        <x:v>QE03-P01</x:v>
      </x:c>
      <x:c r="C17" s="21" t="n">
        <x:v>13</x:v>
      </x:c>
      <x:c r="D17" s="21" t="str">
        <x:v>controlled cell sections</x:v>
      </x:c>
      <x:c r="E17" s="21" t="n">
        <x:v>12</x:v>
      </x:c>
      <x:c r="F17" s="21" t="str">
        <x:v>OPEN</x:v>
      </x:c>
      <x:c r="G17" s="21" t="str"/>
      <x:c r="H17" s="21" t="str"/>
    </x:row>
    <x:row r="18">
      <x:c r="A18" s="21" t="str">
        <x:v>QE03-P01-D014</x:v>
      </x:c>
      <x:c r="B18" s="21" t="str">
        <x:v>QE03-P01</x:v>
      </x:c>
      <x:c r="C18" s="21" t="n">
        <x:v>14</x:v>
      </x:c>
      <x:c r="D18" s="21" t="str">
        <x:v>controlled cell sections</x:v>
      </x:c>
      <x:c r="E18" s="21" t="n">
        <x:v>13</x:v>
      </x:c>
      <x:c r="F18" s="21" t="str">
        <x:v>OPEN</x:v>
      </x:c>
      <x:c r="G18" s="21" t="str"/>
      <x:c r="H18" s="21" t="str"/>
    </x:row>
    <x:row r="19">
      <x:c r="A19" s="21" t="str">
        <x:v>QE03-P01-D015</x:v>
      </x:c>
      <x:c r="B19" s="21" t="str">
        <x:v>QE03-P01</x:v>
      </x:c>
      <x:c r="C19" s="21" t="n">
        <x:v>15</x:v>
      </x:c>
      <x:c r="D19" s="21" t="str">
        <x:v>controlled cell sections</x:v>
      </x:c>
      <x:c r="E19" s="21" t="n">
        <x:v>14</x:v>
      </x:c>
      <x:c r="F19" s="21" t="str">
        <x:v>OPEN</x:v>
      </x:c>
      <x:c r="G19" s="21" t="str"/>
      <x:c r="H19" s="21" t="str"/>
    </x:row>
    <x:row r="20">
      <x:c r="A20" s="21" t="str">
        <x:v>QE03-P01-D016</x:v>
      </x:c>
      <x:c r="B20" s="21" t="str">
        <x:v>QE03-P01</x:v>
      </x:c>
      <x:c r="C20" s="21" t="n">
        <x:v>16</x:v>
      </x:c>
      <x:c r="D20" s="21" t="str">
        <x:v>controlled cell sections</x:v>
      </x:c>
      <x:c r="E20" s="21" t="n">
        <x:v>15</x:v>
      </x:c>
      <x:c r="F20" s="21" t="str">
        <x:v>OPEN</x:v>
      </x:c>
      <x:c r="G20" s="21" t="str"/>
      <x:c r="H20" s="21" t="str"/>
    </x:row>
    <x:row r="21">
      <x:c r="A21" s="21" t="str">
        <x:v>QE03-P01-D017</x:v>
      </x:c>
      <x:c r="B21" s="21" t="str">
        <x:v>QE03-P01</x:v>
      </x:c>
      <x:c r="C21" s="21" t="n">
        <x:v>17</x:v>
      </x:c>
      <x:c r="D21" s="21" t="str">
        <x:v>controlled cell sections</x:v>
      </x:c>
      <x:c r="E21" s="21" t="n">
        <x:v>16</x:v>
      </x:c>
      <x:c r="F21" s="21" t="str">
        <x:v>OPEN</x:v>
      </x:c>
      <x:c r="G21" s="21" t="str"/>
      <x:c r="H21" s="21" t="str"/>
    </x:row>
    <x:row r="22">
      <x:c r="A22" s="21" t="str">
        <x:v>QE03-P01-D018</x:v>
      </x:c>
      <x:c r="B22" s="21" t="str">
        <x:v>QE03-P01</x:v>
      </x:c>
      <x:c r="C22" s="21" t="n">
        <x:v>18</x:v>
      </x:c>
      <x:c r="D22" s="21" t="str">
        <x:v>controlled cell sections</x:v>
      </x:c>
      <x:c r="E22" s="21" t="n">
        <x:v>17</x:v>
      </x:c>
      <x:c r="F22" s="21" t="str">
        <x:v>OPEN</x:v>
      </x:c>
      <x:c r="G22" s="21" t="str"/>
      <x:c r="H22" s="21" t="str"/>
    </x:row>
    <x:row r="23">
      <x:c r="A23" s="21" t="str">
        <x:v>QE03-P01-D019</x:v>
      </x:c>
      <x:c r="B23" s="21" t="str">
        <x:v>QE03-P01</x:v>
      </x:c>
      <x:c r="C23" s="21" t="n">
        <x:v>19</x:v>
      </x:c>
      <x:c r="D23" s="21" t="str">
        <x:v>controlled cell sections</x:v>
      </x:c>
      <x:c r="E23" s="21" t="n">
        <x:v>18</x:v>
      </x:c>
      <x:c r="F23" s="21" t="str">
        <x:v>OPEN</x:v>
      </x:c>
      <x:c r="G23" s="21" t="str"/>
      <x:c r="H23" s="21" t="str"/>
    </x:row>
    <x:row r="24">
      <x:c r="A24" s="21" t="str">
        <x:v>QE03-P01-D020</x:v>
      </x:c>
      <x:c r="B24" s="21" t="str">
        <x:v>QE03-P01</x:v>
      </x:c>
      <x:c r="C24" s="21" t="n">
        <x:v>20</x:v>
      </x:c>
      <x:c r="D24" s="21" t="str">
        <x:v>controlled cell sections</x:v>
      </x:c>
      <x:c r="E24" s="21" t="n">
        <x:v>19</x:v>
      </x:c>
      <x:c r="F24" s="21" t="str">
        <x:v>OPEN</x:v>
      </x:c>
      <x:c r="G24" s="21" t="str"/>
      <x:c r="H24" s="21" t="str"/>
    </x:row>
    <x:row r="25">
      <x:c r="A25" s="21" t="str">
        <x:v>QE03-P01-D021</x:v>
      </x:c>
      <x:c r="B25" s="21" t="str">
        <x:v>QE03-P01</x:v>
      </x:c>
      <x:c r="C25" s="21" t="n">
        <x:v>21</x:v>
      </x:c>
      <x:c r="D25" s="21" t="str">
        <x:v>controlled cell sections</x:v>
      </x:c>
      <x:c r="E25" s="21" t="n">
        <x:v>20</x:v>
      </x:c>
      <x:c r="F25" s="21" t="str">
        <x:v>OPEN</x:v>
      </x:c>
      <x:c r="G25" s="21" t="str"/>
      <x:c r="H25" s="21" t="str"/>
    </x:row>
    <x:row r="26">
      <x:c r="A26" s="21" t="str">
        <x:v>QE03-P01-D022</x:v>
      </x:c>
      <x:c r="B26" s="21" t="str">
        <x:v>QE03-P01</x:v>
      </x:c>
      <x:c r="C26" s="21" t="n">
        <x:v>22</x:v>
      </x:c>
      <x:c r="D26" s="21" t="str">
        <x:v>configuration master</x:v>
      </x:c>
      <x:c r="E26" s="21" t="n">
        <x:v>1</x:v>
      </x:c>
      <x:c r="F26" s="21" t="str">
        <x:v>OPEN</x:v>
      </x:c>
      <x:c r="G26" s="21" t="str"/>
      <x:c r="H26" s="21" t="str"/>
    </x:row>
    <x:row r="27">
      <x:c r="A27" s="21" t="str">
        <x:v>QE03-P01-D023</x:v>
      </x:c>
      <x:c r="B27" s="21" t="str">
        <x:v>QE03-P01</x:v>
      </x:c>
      <x:c r="C27" s="21" t="n">
        <x:v>23</x:v>
      </x:c>
      <x:c r="D27" s="21" t="str">
        <x:v>water package</x:v>
      </x:c>
      <x:c r="E27" s="21" t="n">
        <x:v>1</x:v>
      </x:c>
      <x:c r="F27" s="21" t="str">
        <x:v>OPEN</x:v>
      </x:c>
      <x:c r="G27" s="21" t="str"/>
      <x:c r="H27" s="21" t="str"/>
    </x:row>
    <x:row r="28">
      <x:c r="A28" s="21" t="str">
        <x:v>QE03-P01-D024</x:v>
      </x:c>
      <x:c r="B28" s="21" t="str">
        <x:v>QE03-P01</x:v>
      </x:c>
      <x:c r="C28" s="21" t="n">
        <x:v>24</x:v>
      </x:c>
      <x:c r="D28" s="21" t="str">
        <x:v>final control elements</x:v>
      </x:c>
      <x:c r="E28" s="21" t="n">
        <x:v>1</x:v>
      </x:c>
      <x:c r="F28" s="21" t="str">
        <x:v>OPEN</x:v>
      </x:c>
      <x:c r="G28" s="21" t="str"/>
      <x:c r="H28" s="21" t="str"/>
    </x:row>
    <x:row r="29">
      <x:c r="A29" s="21" t="str">
        <x:v>QE03-P01-D025</x:v>
      </x:c>
      <x:c r="B29" s="21" t="str">
        <x:v>QE03-P01</x:v>
      </x:c>
      <x:c r="C29" s="21" t="n">
        <x:v>25</x:v>
      </x:c>
      <x:c r="D29" s="21" t="str">
        <x:v>final control elements</x:v>
      </x:c>
      <x:c r="E29" s="21" t="n">
        <x:v>2</x:v>
      </x:c>
      <x:c r="F29" s="21" t="str">
        <x:v>OPEN</x:v>
      </x:c>
      <x:c r="G29" s="21" t="str"/>
      <x:c r="H29" s="21" t="str"/>
    </x:row>
    <x:row r="30">
      <x:c r="A30" s="21" t="str">
        <x:v>QE03-P01-D026</x:v>
      </x:c>
      <x:c r="B30" s="21" t="str">
        <x:v>QE03-P01</x:v>
      </x:c>
      <x:c r="C30" s="21" t="n">
        <x:v>26</x:v>
      </x:c>
      <x:c r="D30" s="21" t="str">
        <x:v>final control elements</x:v>
      </x:c>
      <x:c r="E30" s="21" t="n">
        <x:v>3</x:v>
      </x:c>
      <x:c r="F30" s="21" t="str">
        <x:v>OPEN</x:v>
      </x:c>
      <x:c r="G30" s="21" t="str"/>
      <x:c r="H30" s="21" t="str"/>
    </x:row>
    <x:row r="31">
      <x:c r="A31" s="21" t="str">
        <x:v>QE03-P01-D027</x:v>
      </x:c>
      <x:c r="B31" s="21" t="str">
        <x:v>QE03-P01</x:v>
      </x:c>
      <x:c r="C31" s="21" t="n">
        <x:v>27</x:v>
      </x:c>
      <x:c r="D31" s="21" t="str">
        <x:v>final control elements</x:v>
      </x:c>
      <x:c r="E31" s="21" t="n">
        <x:v>4</x:v>
      </x:c>
      <x:c r="F31" s="21" t="str">
        <x:v>OPEN</x:v>
      </x:c>
      <x:c r="G31" s="21" t="str"/>
      <x:c r="H31" s="21" t="str"/>
    </x:row>
    <x:row r="32">
      <x:c r="A32" s="21" t="str">
        <x:v>QE03-P01-D028</x:v>
      </x:c>
      <x:c r="B32" s="21" t="str">
        <x:v>QE03-P01</x:v>
      </x:c>
      <x:c r="C32" s="21" t="n">
        <x:v>28</x:v>
      </x:c>
      <x:c r="D32" s="21" t="str">
        <x:v>final control elements</x:v>
      </x:c>
      <x:c r="E32" s="21" t="n">
        <x:v>5</x:v>
      </x:c>
      <x:c r="F32" s="21" t="str">
        <x:v>OPEN</x:v>
      </x:c>
      <x:c r="G32" s="21" t="str"/>
      <x:c r="H32" s="21" t="str"/>
    </x:row>
    <x:row r="33">
      <x:c r="A33" s="21" t="str">
        <x:v>QE03-P01-D029</x:v>
      </x:c>
      <x:c r="B33" s="21" t="str">
        <x:v>QE03-P01</x:v>
      </x:c>
      <x:c r="C33" s="21" t="n">
        <x:v>29</x:v>
      </x:c>
      <x:c r="D33" s="21" t="str">
        <x:v>final control elements</x:v>
      </x:c>
      <x:c r="E33" s="21" t="n">
        <x:v>6</x:v>
      </x:c>
      <x:c r="F33" s="21" t="str">
        <x:v>OPEN</x:v>
      </x:c>
      <x:c r="G33" s="21" t="str"/>
      <x:c r="H33" s="21" t="str"/>
    </x:row>
    <x:row r="34">
      <x:c r="A34" s="21" t="str">
        <x:v>QE03-P01-D030</x:v>
      </x:c>
      <x:c r="B34" s="21" t="str">
        <x:v>QE03-P01</x:v>
      </x:c>
      <x:c r="C34" s="21" t="n">
        <x:v>30</x:v>
      </x:c>
      <x:c r="D34" s="21" t="str">
        <x:v>final control elements</x:v>
      </x:c>
      <x:c r="E34" s="21" t="n">
        <x:v>7</x:v>
      </x:c>
      <x:c r="F34" s="21" t="str">
        <x:v>OPEN</x:v>
      </x:c>
      <x:c r="G34" s="21" t="str"/>
      <x:c r="H34" s="21" t="str"/>
    </x:row>
    <x:row r="35">
      <x:c r="A35" s="21" t="str">
        <x:v>QE03-P01-D031</x:v>
      </x:c>
      <x:c r="B35" s="21" t="str">
        <x:v>QE03-P01</x:v>
      </x:c>
      <x:c r="C35" s="21" t="n">
        <x:v>31</x:v>
      </x:c>
      <x:c r="D35" s="21" t="str">
        <x:v>final control elements</x:v>
      </x:c>
      <x:c r="E35" s="21" t="n">
        <x:v>8</x:v>
      </x:c>
      <x:c r="F35" s="21" t="str">
        <x:v>OPEN</x:v>
      </x:c>
      <x:c r="G35" s="21" t="str"/>
      <x:c r="H35" s="21" t="str"/>
    </x:row>
    <x:row r="36">
      <x:c r="A36" s="21" t="str">
        <x:v>QE03-P01-D032</x:v>
      </x:c>
      <x:c r="B36" s="21" t="str">
        <x:v>QE03-P01</x:v>
      </x:c>
      <x:c r="C36" s="21" t="n">
        <x:v>32</x:v>
      </x:c>
      <x:c r="D36" s="21" t="str">
        <x:v>final control elements</x:v>
      </x:c>
      <x:c r="E36" s="21" t="n">
        <x:v>9</x:v>
      </x:c>
      <x:c r="F36" s="21" t="str">
        <x:v>OPEN</x:v>
      </x:c>
      <x:c r="G36" s="21" t="str"/>
      <x:c r="H36" s="21" t="str"/>
    </x:row>
    <x:row r="37">
      <x:c r="A37" s="21" t="str">
        <x:v>QE03-P01-D033</x:v>
      </x:c>
      <x:c r="B37" s="21" t="str">
        <x:v>QE03-P01</x:v>
      </x:c>
      <x:c r="C37" s="21" t="n">
        <x:v>33</x:v>
      </x:c>
      <x:c r="D37" s="21" t="str">
        <x:v>final control elements</x:v>
      </x:c>
      <x:c r="E37" s="21" t="n">
        <x:v>10</x:v>
      </x:c>
      <x:c r="F37" s="21" t="str">
        <x:v>OPEN</x:v>
      </x:c>
      <x:c r="G37" s="21" t="str"/>
      <x:c r="H37" s="21" t="str"/>
    </x:row>
    <x:row r="38">
      <x:c r="A38" s="21" t="str">
        <x:v>QE03-P01-D034</x:v>
      </x:c>
      <x:c r="B38" s="21" t="str">
        <x:v>QE03-P01</x:v>
      </x:c>
      <x:c r="C38" s="21" t="n">
        <x:v>34</x:v>
      </x:c>
      <x:c r="D38" s="21" t="str">
        <x:v>final control elements</x:v>
      </x:c>
      <x:c r="E38" s="21" t="n">
        <x:v>11</x:v>
      </x:c>
      <x:c r="F38" s="21" t="str">
        <x:v>OPEN</x:v>
      </x:c>
      <x:c r="G38" s="21" t="str"/>
      <x:c r="H38" s="21" t="str"/>
    </x:row>
    <x:row r="39">
      <x:c r="A39" s="21" t="str">
        <x:v>QE03-P01-D035</x:v>
      </x:c>
      <x:c r="B39" s="21" t="str">
        <x:v>QE03-P01</x:v>
      </x:c>
      <x:c r="C39" s="21" t="n">
        <x:v>35</x:v>
      </x:c>
      <x:c r="D39" s="21" t="str">
        <x:v>final control elements</x:v>
      </x:c>
      <x:c r="E39" s="21" t="n">
        <x:v>12</x:v>
      </x:c>
      <x:c r="F39" s="21" t="str">
        <x:v>OPEN</x:v>
      </x:c>
      <x:c r="G39" s="21" t="str"/>
      <x:c r="H39" s="21" t="str"/>
    </x:row>
    <x:row r="40">
      <x:c r="A40" s="21" t="str">
        <x:v>QE03-P01-D036</x:v>
      </x:c>
      <x:c r="B40" s="21" t="str">
        <x:v>QE03-P01</x:v>
      </x:c>
      <x:c r="C40" s="21" t="n">
        <x:v>36</x:v>
      </x:c>
      <x:c r="D40" s="21" t="str">
        <x:v>safeing paths</x:v>
      </x:c>
      <x:c r="E40" s="21" t="n">
        <x:v>1</x:v>
      </x:c>
      <x:c r="F40" s="21" t="str">
        <x:v>OPEN</x:v>
      </x:c>
      <x:c r="G40" s="21" t="str"/>
      <x:c r="H40" s="21" t="str"/>
    </x:row>
    <x:row r="41">
      <x:c r="A41" s="21" t="str">
        <x:v>QE03-P01-D037</x:v>
      </x:c>
      <x:c r="B41" s="21" t="str">
        <x:v>QE03-P01</x:v>
      </x:c>
      <x:c r="C41" s="21" t="n">
        <x:v>37</x:v>
      </x:c>
      <x:c r="D41" s="21" t="str">
        <x:v>safeing paths</x:v>
      </x:c>
      <x:c r="E41" s="21" t="n">
        <x:v>2</x:v>
      </x:c>
      <x:c r="F41" s="21" t="str">
        <x:v>OPEN</x:v>
      </x:c>
      <x:c r="G41" s="21" t="str"/>
      <x:c r="H41" s="21" t="str"/>
    </x:row>
    <x:row r="42">
      <x:c r="A42" s="21" t="str">
        <x:v>QE03-P01-D038</x:v>
      </x:c>
      <x:c r="B42" s="21" t="str">
        <x:v>QE03-P01</x:v>
      </x:c>
      <x:c r="C42" s="21" t="n">
        <x:v>38</x:v>
      </x:c>
      <x:c r="D42" s="21" t="str">
        <x:v>safeing paths</x:v>
      </x:c>
      <x:c r="E42" s="21" t="n">
        <x:v>3</x:v>
      </x:c>
      <x:c r="F42" s="21" t="str">
        <x:v>OPEN</x:v>
      </x:c>
      <x:c r="G42" s="21" t="str"/>
      <x:c r="H42" s="21" t="str"/>
    </x:row>
    <x:row r="43">
      <x:c r="A43" s="21" t="str">
        <x:v>QE03-P01-D039</x:v>
      </x:c>
      <x:c r="B43" s="21" t="str">
        <x:v>QE03-P01</x:v>
      </x:c>
      <x:c r="C43" s="21" t="n">
        <x:v>39</x:v>
      </x:c>
      <x:c r="D43" s="21" t="str">
        <x:v>safeing paths</x:v>
      </x:c>
      <x:c r="E43" s="21" t="n">
        <x:v>4</x:v>
      </x:c>
      <x:c r="F43" s="21" t="str">
        <x:v>OPEN</x:v>
      </x:c>
      <x:c r="G43" s="21" t="str"/>
      <x:c r="H43" s="21" t="str"/>
    </x:row>
    <x:row r="44">
      <x:c r="A44" s="21" t="str">
        <x:v>QE03-P01-D040</x:v>
      </x:c>
      <x:c r="B44" s="21" t="str">
        <x:v>QE03-P01</x:v>
      </x:c>
      <x:c r="C44" s="21" t="n">
        <x:v>40</x:v>
      </x:c>
      <x:c r="D44" s="21" t="str">
        <x:v>safeing paths</x:v>
      </x:c>
      <x:c r="E44" s="21" t="n">
        <x:v>5</x:v>
      </x:c>
      <x:c r="F44" s="21" t="str">
        <x:v>OPEN</x:v>
      </x:c>
      <x:c r="G44" s="21" t="str"/>
      <x:c r="H44" s="21" t="str"/>
    </x:row>
    <x:row r="45">
      <x:c r="A45" s="21" t="str">
        <x:v>QE03-P01-D041</x:v>
      </x:c>
      <x:c r="B45" s="21" t="str">
        <x:v>QE03-P01</x:v>
      </x:c>
      <x:c r="C45" s="21" t="n">
        <x:v>41</x:v>
      </x:c>
      <x:c r="D45" s="21" t="str">
        <x:v>safeing paths</x:v>
      </x:c>
      <x:c r="E45" s="21" t="n">
        <x:v>6</x:v>
      </x:c>
      <x:c r="F45" s="21" t="str">
        <x:v>OPEN</x:v>
      </x:c>
      <x:c r="G45" s="21" t="str"/>
      <x:c r="H45" s="21" t="str"/>
    </x:row>
    <x:row r="46">
      <x:c r="A46" s="21" t="str">
        <x:v>QE03-P01-D042</x:v>
      </x:c>
      <x:c r="B46" s="21" t="str">
        <x:v>QE03-P01</x:v>
      </x:c>
      <x:c r="C46" s="21" t="n">
        <x:v>42</x:v>
      </x:c>
      <x:c r="D46" s="21" t="str">
        <x:v>safeing paths</x:v>
      </x:c>
      <x:c r="E46" s="21" t="n">
        <x:v>7</x:v>
      </x:c>
      <x:c r="F46" s="21" t="str">
        <x:v>OPEN</x:v>
      </x:c>
      <x:c r="G46" s="21" t="str"/>
      <x:c r="H46" s="21" t="str"/>
    </x:row>
    <x:row r="47">
      <x:c r="A47" s="21" t="str">
        <x:v>QE03-P01-D043</x:v>
      </x:c>
      <x:c r="B47" s="21" t="str">
        <x:v>QE03-P01</x:v>
      </x:c>
      <x:c r="C47" s="21" t="n">
        <x:v>43</x:v>
      </x:c>
      <x:c r="D47" s="21" t="str">
        <x:v>safeing paths</x:v>
      </x:c>
      <x:c r="E47" s="21" t="n">
        <x:v>8</x:v>
      </x:c>
      <x:c r="F47" s="21" t="str">
        <x:v>OPEN</x:v>
      </x:c>
      <x:c r="G47" s="21" t="str"/>
      <x:c r="H47" s="21" t="str"/>
    </x:row>
    <x:row r="48">
      <x:c r="A48" s="21" t="str">
        <x:v>QE03-P01-D044</x:v>
      </x:c>
      <x:c r="B48" s="21" t="str">
        <x:v>QE03-P01</x:v>
      </x:c>
      <x:c r="C48" s="21" t="n">
        <x:v>44</x:v>
      </x:c>
      <x:c r="D48" s="21" t="str">
        <x:v>safeing paths</x:v>
      </x:c>
      <x:c r="E48" s="21" t="n">
        <x:v>9</x:v>
      </x:c>
      <x:c r="F48" s="21" t="str">
        <x:v>OPEN</x:v>
      </x:c>
      <x:c r="G48" s="21" t="str"/>
      <x:c r="H48" s="21" t="str"/>
    </x:row>
    <x:row r="49">
      <x:c r="A49" s="21" t="str">
        <x:v>QE03-P01-D045</x:v>
      </x:c>
      <x:c r="B49" s="21" t="str">
        <x:v>QE03-P01</x:v>
      </x:c>
      <x:c r="C49" s="21" t="n">
        <x:v>45</x:v>
      </x:c>
      <x:c r="D49" s="21" t="str">
        <x:v>safeing paths</x:v>
      </x:c>
      <x:c r="E49" s="21" t="n">
        <x:v>10</x:v>
      </x:c>
      <x:c r="F49" s="21" t="str">
        <x:v>OPEN</x:v>
      </x:c>
      <x:c r="G49" s="21" t="str"/>
      <x:c r="H49" s="21" t="str"/>
    </x:row>
    <x:row r="50">
      <x:c r="A50" s="21" t="str">
        <x:v>QE03-P01-D046</x:v>
      </x:c>
      <x:c r="B50" s="21" t="str">
        <x:v>QE03-P01</x:v>
      </x:c>
      <x:c r="C50" s="21" t="n">
        <x:v>46</x:v>
      </x:c>
      <x:c r="D50" s="21" t="str">
        <x:v>safeing paths</x:v>
      </x:c>
      <x:c r="E50" s="21" t="n">
        <x:v>11</x:v>
      </x:c>
      <x:c r="F50" s="21" t="str">
        <x:v>OPEN</x:v>
      </x:c>
      <x:c r="G50" s="21" t="str"/>
      <x:c r="H50" s="21" t="str"/>
    </x:row>
    <x:row r="51">
      <x:c r="A51" s="21" t="str">
        <x:v>QE03-P01-D047</x:v>
      </x:c>
      <x:c r="B51" s="21" t="str">
        <x:v>QE03-P01</x:v>
      </x:c>
      <x:c r="C51" s="21" t="n">
        <x:v>47</x:v>
      </x:c>
      <x:c r="D51" s="21" t="str">
        <x:v>safeing paths</x:v>
      </x:c>
      <x:c r="E51" s="21" t="n">
        <x:v>12</x:v>
      </x:c>
      <x:c r="F51" s="21" t="str">
        <x:v>OPEN</x:v>
      </x:c>
      <x:c r="G51" s="21" t="str"/>
      <x:c r="H51" s="21" t="str"/>
    </x:row>
    <x:row r="52">
      <x:c r="A52" s="21" t="str">
        <x:v>QE03-P01-D048</x:v>
      </x:c>
      <x:c r="B52" s="21" t="str">
        <x:v>QE03-P01</x:v>
      </x:c>
      <x:c r="C52" s="21" t="n">
        <x:v>48</x:v>
      </x:c>
      <x:c r="D52" s="21" t="str">
        <x:v>safeing paths</x:v>
      </x:c>
      <x:c r="E52" s="21" t="n">
        <x:v>13</x:v>
      </x:c>
      <x:c r="F52" s="21" t="str">
        <x:v>OPEN</x:v>
      </x:c>
      <x:c r="G52" s="21" t="str"/>
      <x:c r="H52" s="21" t="str"/>
    </x:row>
    <x:row r="53">
      <x:c r="A53" s="21" t="str">
        <x:v>QE03-P01-D049</x:v>
      </x:c>
      <x:c r="B53" s="21" t="str">
        <x:v>QE03-P01</x:v>
      </x:c>
      <x:c r="C53" s="21" t="n">
        <x:v>49</x:v>
      </x:c>
      <x:c r="D53" s="21" t="str">
        <x:v>safeing paths</x:v>
      </x:c>
      <x:c r="E53" s="21" t="n">
        <x:v>14</x:v>
      </x:c>
      <x:c r="F53" s="21" t="str">
        <x:v>OPEN</x:v>
      </x:c>
      <x:c r="G53" s="21" t="str"/>
      <x:c r="H53" s="21" t="str"/>
    </x:row>
    <x:row r="54">
      <x:c r="A54" s="21" t="str">
        <x:v>QE03-P01-D050</x:v>
      </x:c>
      <x:c r="B54" s="21" t="str">
        <x:v>QE03-P01</x:v>
      </x:c>
      <x:c r="C54" s="21" t="n">
        <x:v>50</x:v>
      </x:c>
      <x:c r="D54" s="21" t="str">
        <x:v>safeing paths</x:v>
      </x:c>
      <x:c r="E54" s="21" t="n">
        <x:v>15</x:v>
      </x:c>
      <x:c r="F54" s="21" t="str">
        <x:v>OPEN</x:v>
      </x:c>
      <x:c r="G54" s="21" t="str"/>
      <x:c r="H54" s="21" t="str"/>
    </x:row>
    <x:row r="55">
      <x:c r="A55" s="21" t="str">
        <x:v>QE03-P01-D051</x:v>
      </x:c>
      <x:c r="B55" s="21" t="str">
        <x:v>QE03-P01</x:v>
      </x:c>
      <x:c r="C55" s="21" t="n">
        <x:v>51</x:v>
      </x:c>
      <x:c r="D55" s="21" t="str">
        <x:v>safeing paths</x:v>
      </x:c>
      <x:c r="E55" s="21" t="n">
        <x:v>16</x:v>
      </x:c>
      <x:c r="F55" s="21" t="str">
        <x:v>OPEN</x:v>
      </x:c>
      <x:c r="G55" s="21" t="str"/>
      <x:c r="H55" s="21" t="str"/>
    </x:row>
    <x:row r="56">
      <x:c r="A56" s="21" t="str">
        <x:v>QE03-P01-D052</x:v>
      </x:c>
      <x:c r="B56" s="21" t="str">
        <x:v>QE03-P01</x:v>
      </x:c>
      <x:c r="C56" s="21" t="n">
        <x:v>52</x:v>
      </x:c>
      <x:c r="D56" s="21" t="str">
        <x:v>safeing paths</x:v>
      </x:c>
      <x:c r="E56" s="21" t="n">
        <x:v>17</x:v>
      </x:c>
      <x:c r="F56" s="21" t="str">
        <x:v>OPEN</x:v>
      </x:c>
      <x:c r="G56" s="21" t="str"/>
      <x:c r="H56" s="21" t="str"/>
    </x:row>
    <x:row r="57">
      <x:c r="A57" s="21" t="str">
        <x:v>QE03-P01-D053</x:v>
      </x:c>
      <x:c r="B57" s="21" t="str">
        <x:v>QE03-P01</x:v>
      </x:c>
      <x:c r="C57" s="21" t="n">
        <x:v>53</x:v>
      </x:c>
      <x:c r="D57" s="21" t="str">
        <x:v>safeing paths</x:v>
      </x:c>
      <x:c r="E57" s="21" t="n">
        <x:v>18</x:v>
      </x:c>
      <x:c r="F57" s="21" t="str">
        <x:v>OPEN</x:v>
      </x:c>
      <x:c r="G57" s="21" t="str"/>
      <x:c r="H57" s="21" t="str"/>
    </x:row>
    <x:row r="58">
      <x:c r="A58" s="21" t="str">
        <x:v>QE03-P01-D054</x:v>
      </x:c>
      <x:c r="B58" s="21" t="str">
        <x:v>QE03-P01</x:v>
      </x:c>
      <x:c r="C58" s="21" t="n">
        <x:v>54</x:v>
      </x:c>
      <x:c r="D58" s="21" t="str">
        <x:v>safeing paths</x:v>
      </x:c>
      <x:c r="E58" s="21" t="n">
        <x:v>19</x:v>
      </x:c>
      <x:c r="F58" s="21" t="str">
        <x:v>OPEN</x:v>
      </x:c>
      <x:c r="G58" s="21" t="str"/>
      <x:c r="H58" s="21" t="str"/>
    </x:row>
    <x:row r="59">
      <x:c r="A59" s="21" t="str">
        <x:v>QE03-P01-D055</x:v>
      </x:c>
      <x:c r="B59" s="21" t="str">
        <x:v>QE03-P01</x:v>
      </x:c>
      <x:c r="C59" s="21" t="n">
        <x:v>55</x:v>
      </x:c>
      <x:c r="D59" s="21" t="str">
        <x:v>safeing paths</x:v>
      </x:c>
      <x:c r="E59" s="21" t="n">
        <x:v>20</x:v>
      </x:c>
      <x:c r="F59" s="21" t="str">
        <x:v>OPEN</x:v>
      </x:c>
      <x:c r="G59" s="21" t="str"/>
      <x:c r="H59" s="21" t="str"/>
    </x:row>
    <x:row r="60">
      <x:c r="A60" s="21" t="str">
        <x:v>QE03-P01-D056</x:v>
      </x:c>
      <x:c r="B60" s="21" t="str">
        <x:v>QE03-P01</x:v>
      </x:c>
      <x:c r="C60" s="21" t="n">
        <x:v>56</x:v>
      </x:c>
      <x:c r="D60" s="21" t="str">
        <x:v>safeing paths</x:v>
      </x:c>
      <x:c r="E60" s="21" t="n">
        <x:v>21</x:v>
      </x:c>
      <x:c r="F60" s="21" t="str">
        <x:v>OPEN</x:v>
      </x:c>
      <x:c r="G60" s="21" t="str"/>
      <x:c r="H60" s="21" t="str"/>
    </x:row>
    <x:row r="61">
      <x:c r="A61" s="21" t="str">
        <x:v>QE03-P01-D057</x:v>
      </x:c>
      <x:c r="B61" s="21" t="str">
        <x:v>QE03-P01</x:v>
      </x:c>
      <x:c r="C61" s="21" t="n">
        <x:v>57</x:v>
      </x:c>
      <x:c r="D61" s="21" t="str">
        <x:v>safeing paths</x:v>
      </x:c>
      <x:c r="E61" s="21" t="n">
        <x:v>22</x:v>
      </x:c>
      <x:c r="F61" s="21" t="str">
        <x:v>OPEN</x:v>
      </x:c>
      <x:c r="G61" s="21" t="str"/>
      <x:c r="H61" s="21" t="str"/>
    </x:row>
    <x:row r="62">
      <x:c r="A62" s="21" t="str">
        <x:v>QE03-P01-D058</x:v>
      </x:c>
      <x:c r="B62" s="21" t="str">
        <x:v>QE03-P01</x:v>
      </x:c>
      <x:c r="C62" s="21" t="n">
        <x:v>58</x:v>
      </x:c>
      <x:c r="D62" s="21" t="str">
        <x:v>safeing paths</x:v>
      </x:c>
      <x:c r="E62" s="21" t="n">
        <x:v>23</x:v>
      </x:c>
      <x:c r="F62" s="21" t="str">
        <x:v>OPEN</x:v>
      </x:c>
      <x:c r="G62" s="21" t="str"/>
      <x:c r="H62" s="21" t="str"/>
    </x:row>
    <x:row r="63">
      <x:c r="A63" s="21" t="str">
        <x:v>QE03-P01-D059</x:v>
      </x:c>
      <x:c r="B63" s="21" t="str">
        <x:v>QE03-P01</x:v>
      </x:c>
      <x:c r="C63" s="21" t="n">
        <x:v>59</x:v>
      </x:c>
      <x:c r="D63" s="21" t="str">
        <x:v>safeing paths</x:v>
      </x:c>
      <x:c r="E63" s="21" t="n">
        <x:v>24</x:v>
      </x:c>
      <x:c r="F63" s="21" t="str">
        <x:v>OPEN</x:v>
      </x:c>
      <x:c r="G63" s="21" t="str"/>
      <x:c r="H63" s="21" t="str"/>
    </x:row>
    <x:row r="64">
      <x:c r="A64" s="21" t="str">
        <x:v>QE03-P01-D060</x:v>
      </x:c>
      <x:c r="B64" s="21" t="str">
        <x:v>QE03-P01</x:v>
      </x:c>
      <x:c r="C64" s="21" t="n">
        <x:v>60</x:v>
      </x:c>
      <x:c r="D64" s="21" t="str">
        <x:v>safeing paths</x:v>
      </x:c>
      <x:c r="E64" s="21" t="n">
        <x:v>25</x:v>
      </x:c>
      <x:c r="F64" s="21" t="str">
        <x:v>OPEN</x:v>
      </x:c>
      <x:c r="G64" s="21" t="str"/>
      <x:c r="H64" s="21" t="str"/>
    </x:row>
    <x:row r="65">
      <x:c r="A65" s="21" t="str">
        <x:v>QE03-P01-D061</x:v>
      </x:c>
      <x:c r="B65" s="21" t="str">
        <x:v>QE03-P01</x:v>
      </x:c>
      <x:c r="C65" s="21" t="n">
        <x:v>61</x:v>
      </x:c>
      <x:c r="D65" s="21" t="str">
        <x:v>safeing paths</x:v>
      </x:c>
      <x:c r="E65" s="21" t="n">
        <x:v>26</x:v>
      </x:c>
      <x:c r="F65" s="21" t="str">
        <x:v>OPEN</x:v>
      </x:c>
      <x:c r="G65" s="21" t="str"/>
      <x:c r="H65" s="21" t="str"/>
    </x:row>
    <x:row r="66">
      <x:c r="A66" s="21" t="str">
        <x:v>QE03-P01-D062</x:v>
      </x:c>
      <x:c r="B66" s="21" t="str">
        <x:v>QE03-P01</x:v>
      </x:c>
      <x:c r="C66" s="21" t="n">
        <x:v>62</x:v>
      </x:c>
      <x:c r="D66" s="21" t="str">
        <x:v>safeing paths</x:v>
      </x:c>
      <x:c r="E66" s="21" t="n">
        <x:v>27</x:v>
      </x:c>
      <x:c r="F66" s="21" t="str">
        <x:v>OPEN</x:v>
      </x:c>
      <x:c r="G66" s="21" t="str"/>
      <x:c r="H66" s="21" t="str"/>
    </x:row>
    <x:row r="67">
      <x:c r="A67" s="21" t="str">
        <x:v>QE03-P01-D063</x:v>
      </x:c>
      <x:c r="B67" s="21" t="str">
        <x:v>QE03-P01</x:v>
      </x:c>
      <x:c r="C67" s="21" t="n">
        <x:v>63</x:v>
      </x:c>
      <x:c r="D67" s="21" t="str">
        <x:v>safeing paths</x:v>
      </x:c>
      <x:c r="E67" s="21" t="n">
        <x:v>28</x:v>
      </x:c>
      <x:c r="F67" s="21" t="str">
        <x:v>OPEN</x:v>
      </x:c>
      <x:c r="G67" s="21" t="str"/>
      <x:c r="H67" s="21" t="str"/>
    </x:row>
    <x:row r="68">
      <x:c r="A68" s="21" t="str">
        <x:v>QE03-P01-D064</x:v>
      </x:c>
      <x:c r="B68" s="21" t="str">
        <x:v>QE03-P01</x:v>
      </x:c>
      <x:c r="C68" s="21" t="n">
        <x:v>64</x:v>
      </x:c>
      <x:c r="D68" s="21" t="str">
        <x:v>safeing paths</x:v>
      </x:c>
      <x:c r="E68" s="21" t="n">
        <x:v>29</x:v>
      </x:c>
      <x:c r="F68" s="21" t="str">
        <x:v>OPEN</x:v>
      </x:c>
      <x:c r="G68" s="21" t="str"/>
      <x:c r="H68" s="21" t="str"/>
    </x:row>
    <x:row r="69">
      <x:c r="A69" s="21" t="str">
        <x:v>QE03-P01-D065</x:v>
      </x:c>
      <x:c r="B69" s="21" t="str">
        <x:v>QE03-P01</x:v>
      </x:c>
      <x:c r="C69" s="21" t="n">
        <x:v>65</x:v>
      </x:c>
      <x:c r="D69" s="21" t="str">
        <x:v>safeing paths</x:v>
      </x:c>
      <x:c r="E69" s="21" t="n">
        <x:v>30</x:v>
      </x:c>
      <x:c r="F69" s="21" t="str">
        <x:v>OPEN</x:v>
      </x:c>
      <x:c r="G69" s="21" t="str"/>
      <x:c r="H69" s="21" t="str"/>
    </x:row>
    <x:row r="70">
      <x:c r="A70" s="21" t="str">
        <x:v>QE03-P01-D066</x:v>
      </x:c>
      <x:c r="B70" s="21" t="str">
        <x:v>QE03-P01</x:v>
      </x:c>
      <x:c r="C70" s="21" t="n">
        <x:v>66</x:v>
      </x:c>
      <x:c r="D70" s="21" t="str">
        <x:v>safeing paths</x:v>
      </x:c>
      <x:c r="E70" s="21" t="n">
        <x:v>31</x:v>
      </x:c>
      <x:c r="F70" s="21" t="str">
        <x:v>OPEN</x:v>
      </x:c>
      <x:c r="G70" s="21" t="str"/>
      <x:c r="H70" s="21" t="str"/>
    </x:row>
    <x:row r="71">
      <x:c r="A71" s="21" t="str">
        <x:v>QE03-P01-D067</x:v>
      </x:c>
      <x:c r="B71" s="21" t="str">
        <x:v>QE03-P01</x:v>
      </x:c>
      <x:c r="C71" s="21" t="n">
        <x:v>67</x:v>
      </x:c>
      <x:c r="D71" s="21" t="str">
        <x:v>safeing paths</x:v>
      </x:c>
      <x:c r="E71" s="21" t="n">
        <x:v>32</x:v>
      </x:c>
      <x:c r="F71" s="21" t="str">
        <x:v>OPEN</x:v>
      </x:c>
      <x:c r="G71" s="21" t="str"/>
      <x:c r="H71" s="21" t="str"/>
    </x:row>
    <x:row r="72">
      <x:c r="A72" s="21" t="str">
        <x:v>QE03-P01-D068</x:v>
      </x:c>
      <x:c r="B72" s="21" t="str">
        <x:v>QE03-P01</x:v>
      </x:c>
      <x:c r="C72" s="21" t="n">
        <x:v>68</x:v>
      </x:c>
      <x:c r="D72" s="21" t="str">
        <x:v>safeing paths</x:v>
      </x:c>
      <x:c r="E72" s="21" t="n">
        <x:v>33</x:v>
      </x:c>
      <x:c r="F72" s="21" t="str">
        <x:v>OPEN</x:v>
      </x:c>
      <x:c r="G72" s="21" t="str"/>
      <x:c r="H72" s="21" t="str"/>
    </x:row>
    <x:row r="73">
      <x:c r="A73" s="21" t="str">
        <x:v>QE03-P01-D069</x:v>
      </x:c>
      <x:c r="B73" s="21" t="str">
        <x:v>QE03-P01</x:v>
      </x:c>
      <x:c r="C73" s="21" t="n">
        <x:v>69</x:v>
      </x:c>
      <x:c r="D73" s="21" t="str">
        <x:v>safeing paths</x:v>
      </x:c>
      <x:c r="E73" s="21" t="n">
        <x:v>34</x:v>
      </x:c>
      <x:c r="F73" s="21" t="str">
        <x:v>OPEN</x:v>
      </x:c>
      <x:c r="G73" s="21" t="str"/>
      <x:c r="H73" s="21" t="str"/>
    </x:row>
    <x:row r="74">
      <x:c r="A74" s="21" t="str">
        <x:v>QE03-P01-D070</x:v>
      </x:c>
      <x:c r="B74" s="21" t="str">
        <x:v>QE03-P01</x:v>
      </x:c>
      <x:c r="C74" s="21" t="n">
        <x:v>70</x:v>
      </x:c>
      <x:c r="D74" s="21" t="str">
        <x:v>safeing paths</x:v>
      </x:c>
      <x:c r="E74" s="21" t="n">
        <x:v>35</x:v>
      </x:c>
      <x:c r="F74" s="21" t="str">
        <x:v>OPEN</x:v>
      </x:c>
      <x:c r="G74" s="21" t="str"/>
      <x:c r="H74" s="21" t="str"/>
    </x:row>
    <x:row r="75">
      <x:c r="A75" s="21" t="str">
        <x:v>QE03-P01-D071</x:v>
      </x:c>
      <x:c r="B75" s="21" t="str">
        <x:v>QE03-P01</x:v>
      </x:c>
      <x:c r="C75" s="21" t="n">
        <x:v>71</x:v>
      </x:c>
      <x:c r="D75" s="21" t="str">
        <x:v>safeing paths</x:v>
      </x:c>
      <x:c r="E75" s="21" t="n">
        <x:v>36</x:v>
      </x:c>
      <x:c r="F75" s="21" t="str">
        <x:v>OPEN</x:v>
      </x:c>
      <x:c r="G75" s="21" t="str"/>
      <x:c r="H75" s="21" t="str"/>
    </x:row>
    <x:row r="76">
      <x:c r="A76" s="21" t="str">
        <x:v>QE03-P01-D072</x:v>
      </x:c>
      <x:c r="B76" s="21" t="str">
        <x:v>QE03-P01</x:v>
      </x:c>
      <x:c r="C76" s="21" t="n">
        <x:v>72</x:v>
      </x:c>
      <x:c r="D76" s="21" t="str">
        <x:v>safeing proofs</x:v>
      </x:c>
      <x:c r="E76" s="21" t="n">
        <x:v>1</x:v>
      </x:c>
      <x:c r="F76" s="21" t="str">
        <x:v>OPEN</x:v>
      </x:c>
      <x:c r="G76" s="21" t="str"/>
      <x:c r="H76" s="21" t="str"/>
    </x:row>
    <x:row r="77">
      <x:c r="A77" s="21" t="str">
        <x:v>QE03-P01-D073</x:v>
      </x:c>
      <x:c r="B77" s="21" t="str">
        <x:v>QE03-P01</x:v>
      </x:c>
      <x:c r="C77" s="21" t="n">
        <x:v>73</x:v>
      </x:c>
      <x:c r="D77" s="21" t="str">
        <x:v>safeing proofs</x:v>
      </x:c>
      <x:c r="E77" s="21" t="n">
        <x:v>2</x:v>
      </x:c>
      <x:c r="F77" s="21" t="str">
        <x:v>OPEN</x:v>
      </x:c>
      <x:c r="G77" s="21" t="str"/>
      <x:c r="H77" s="21" t="str"/>
    </x:row>
    <x:row r="78">
      <x:c r="A78" s="21" t="str">
        <x:v>QE03-P01-D074</x:v>
      </x:c>
      <x:c r="B78" s="21" t="str">
        <x:v>QE03-P01</x:v>
      </x:c>
      <x:c r="C78" s="21" t="n">
        <x:v>74</x:v>
      </x:c>
      <x:c r="D78" s="21" t="str">
        <x:v>safeing proofs</x:v>
      </x:c>
      <x:c r="E78" s="21" t="n">
        <x:v>3</x:v>
      </x:c>
      <x:c r="F78" s="21" t="str">
        <x:v>OPEN</x:v>
      </x:c>
      <x:c r="G78" s="21" t="str"/>
      <x:c r="H78" s="21" t="str"/>
    </x:row>
    <x:row r="79">
      <x:c r="A79" s="21" t="str">
        <x:v>QE03-P01-D075</x:v>
      </x:c>
      <x:c r="B79" s="21" t="str">
        <x:v>QE03-P01</x:v>
      </x:c>
      <x:c r="C79" s="21" t="n">
        <x:v>75</x:v>
      </x:c>
      <x:c r="D79" s="21" t="str">
        <x:v>safeing proofs</x:v>
      </x:c>
      <x:c r="E79" s="21" t="n">
        <x:v>4</x:v>
      </x:c>
      <x:c r="F79" s="21" t="str">
        <x:v>OPEN</x:v>
      </x:c>
      <x:c r="G79" s="21" t="str"/>
      <x:c r="H79" s="21" t="str"/>
    </x:row>
    <x:row r="80">
      <x:c r="A80" s="21" t="str">
        <x:v>QE03-P01-D076</x:v>
      </x:c>
      <x:c r="B80" s="21" t="str">
        <x:v>QE03-P01</x:v>
      </x:c>
      <x:c r="C80" s="21" t="n">
        <x:v>76</x:v>
      </x:c>
      <x:c r="D80" s="21" t="str">
        <x:v>safeing proofs</x:v>
      </x:c>
      <x:c r="E80" s="21" t="n">
        <x:v>5</x:v>
      </x:c>
      <x:c r="F80" s="21" t="str">
        <x:v>OPEN</x:v>
      </x:c>
      <x:c r="G80" s="21" t="str"/>
      <x:c r="H80" s="21" t="str"/>
    </x:row>
    <x:row r="81">
      <x:c r="A81" s="21" t="str">
        <x:v>QE03-P01-D077</x:v>
      </x:c>
      <x:c r="B81" s="21" t="str">
        <x:v>QE03-P01</x:v>
      </x:c>
      <x:c r="C81" s="21" t="n">
        <x:v>77</x:v>
      </x:c>
      <x:c r="D81" s="21" t="str">
        <x:v>safeing proofs</x:v>
      </x:c>
      <x:c r="E81" s="21" t="n">
        <x:v>6</x:v>
      </x:c>
      <x:c r="F81" s="21" t="str">
        <x:v>OPEN</x:v>
      </x:c>
      <x:c r="G81" s="21" t="str"/>
      <x:c r="H81" s="21" t="str"/>
    </x:row>
    <x:row r="82">
      <x:c r="A82" s="21" t="str">
        <x:v>QE03-P01-D078</x:v>
      </x:c>
      <x:c r="B82" s="21" t="str">
        <x:v>QE03-P01</x:v>
      </x:c>
      <x:c r="C82" s="21" t="n">
        <x:v>78</x:v>
      </x:c>
      <x:c r="D82" s="21" t="str">
        <x:v>safeing proofs</x:v>
      </x:c>
      <x:c r="E82" s="21" t="n">
        <x:v>7</x:v>
      </x:c>
      <x:c r="F82" s="21" t="str">
        <x:v>OPEN</x:v>
      </x:c>
      <x:c r="G82" s="21" t="str"/>
      <x:c r="H82" s="21" t="str"/>
    </x:row>
    <x:row r="83">
      <x:c r="A83" s="21" t="str">
        <x:v>QE03-P01-D079</x:v>
      </x:c>
      <x:c r="B83" s="21" t="str">
        <x:v>QE03-P01</x:v>
      </x:c>
      <x:c r="C83" s="21" t="n">
        <x:v>79</x:v>
      </x:c>
      <x:c r="D83" s="21" t="str">
        <x:v>safeing proofs</x:v>
      </x:c>
      <x:c r="E83" s="21" t="n">
        <x:v>8</x:v>
      </x:c>
      <x:c r="F83" s="21" t="str">
        <x:v>OPEN</x:v>
      </x:c>
      <x:c r="G83" s="21" t="str"/>
      <x:c r="H83" s="21" t="str"/>
    </x:row>
    <x:row r="84">
      <x:c r="A84" s="21" t="str">
        <x:v>QE03-P01-D080</x:v>
      </x:c>
      <x:c r="B84" s="21" t="str">
        <x:v>QE03-P01</x:v>
      </x:c>
      <x:c r="C84" s="21" t="n">
        <x:v>80</x:v>
      </x:c>
      <x:c r="D84" s="21" t="str">
        <x:v>safeing proofs</x:v>
      </x:c>
      <x:c r="E84" s="21" t="n">
        <x:v>9</x:v>
      </x:c>
      <x:c r="F84" s="21" t="str">
        <x:v>OPEN</x:v>
      </x:c>
      <x:c r="G84" s="21" t="str"/>
      <x:c r="H84" s="21" t="str"/>
    </x:row>
    <x:row r="85">
      <x:c r="A85" s="21" t="str">
        <x:v>QE03-P01-D081</x:v>
      </x:c>
      <x:c r="B85" s="21" t="str">
        <x:v>QE03-P01</x:v>
      </x:c>
      <x:c r="C85" s="21" t="n">
        <x:v>81</x:v>
      </x:c>
      <x:c r="D85" s="21" t="str">
        <x:v>safeing proofs</x:v>
      </x:c>
      <x:c r="E85" s="21" t="n">
        <x:v>10</x:v>
      </x:c>
      <x:c r="F85" s="21" t="str">
        <x:v>OPEN</x:v>
      </x:c>
      <x:c r="G85" s="21" t="str"/>
      <x:c r="H85" s="21" t="str"/>
    </x:row>
    <x:row r="86">
      <x:c r="A86" s="21" t="str">
        <x:v>QE03-P01-D082</x:v>
      </x:c>
      <x:c r="B86" s="21" t="str">
        <x:v>QE03-P01</x:v>
      </x:c>
      <x:c r="C86" s="21" t="n">
        <x:v>82</x:v>
      </x:c>
      <x:c r="D86" s="21" t="str">
        <x:v>safeing proofs</x:v>
      </x:c>
      <x:c r="E86" s="21" t="n">
        <x:v>11</x:v>
      </x:c>
      <x:c r="F86" s="21" t="str">
        <x:v>OPEN</x:v>
      </x:c>
      <x:c r="G86" s="21" t="str"/>
      <x:c r="H86" s="21" t="str"/>
    </x:row>
    <x:row r="87">
      <x:c r="A87" s="21" t="str">
        <x:v>QE03-P01-D083</x:v>
      </x:c>
      <x:c r="B87" s="21" t="str">
        <x:v>QE03-P01</x:v>
      </x:c>
      <x:c r="C87" s="21" t="n">
        <x:v>83</x:v>
      </x:c>
      <x:c r="D87" s="21" t="str">
        <x:v>safeing proofs</x:v>
      </x:c>
      <x:c r="E87" s="21" t="n">
        <x:v>12</x:v>
      </x:c>
      <x:c r="F87" s="21" t="str">
        <x:v>OPEN</x:v>
      </x:c>
      <x:c r="G87" s="21" t="str"/>
      <x:c r="H87" s="21" t="str"/>
    </x:row>
    <x:row r="88">
      <x:c r="A88" s="21" t="str">
        <x:v>QE03-P01-D084</x:v>
      </x:c>
      <x:c r="B88" s="21" t="str">
        <x:v>QE03-P01</x:v>
      </x:c>
      <x:c r="C88" s="21" t="n">
        <x:v>84</x:v>
      </x:c>
      <x:c r="D88" s="21" t="str">
        <x:v>safeing proofs</x:v>
      </x:c>
      <x:c r="E88" s="21" t="n">
        <x:v>13</x:v>
      </x:c>
      <x:c r="F88" s="21" t="str">
        <x:v>OPEN</x:v>
      </x:c>
      <x:c r="G88" s="21" t="str"/>
      <x:c r="H88" s="21" t="str"/>
    </x:row>
    <x:row r="89">
      <x:c r="A89" s="21" t="str">
        <x:v>QE03-P01-D085</x:v>
      </x:c>
      <x:c r="B89" s="21" t="str">
        <x:v>QE03-P01</x:v>
      </x:c>
      <x:c r="C89" s="21" t="n">
        <x:v>85</x:v>
      </x:c>
      <x:c r="D89" s="21" t="str">
        <x:v>safeing proofs</x:v>
      </x:c>
      <x:c r="E89" s="21" t="n">
        <x:v>14</x:v>
      </x:c>
      <x:c r="F89" s="21" t="str">
        <x:v>OPEN</x:v>
      </x:c>
      <x:c r="G89" s="21" t="str"/>
      <x:c r="H89" s="21" t="str"/>
    </x:row>
    <x:row r="90">
      <x:c r="A90" s="21" t="str">
        <x:v>QE03-P01-D086</x:v>
      </x:c>
      <x:c r="B90" s="21" t="str">
        <x:v>QE03-P01</x:v>
      </x:c>
      <x:c r="C90" s="21" t="n">
        <x:v>86</x:v>
      </x:c>
      <x:c r="D90" s="21" t="str">
        <x:v>safeing proofs</x:v>
      </x:c>
      <x:c r="E90" s="21" t="n">
        <x:v>15</x:v>
      </x:c>
      <x:c r="F90" s="21" t="str">
        <x:v>OPEN</x:v>
      </x:c>
      <x:c r="G90" s="21" t="str"/>
      <x:c r="H90" s="21" t="str"/>
    </x:row>
    <x:row r="91">
      <x:c r="A91" s="21" t="str">
        <x:v>QE03-P01-D087</x:v>
      </x:c>
      <x:c r="B91" s="21" t="str">
        <x:v>QE03-P01</x:v>
      </x:c>
      <x:c r="C91" s="21" t="n">
        <x:v>87</x:v>
      </x:c>
      <x:c r="D91" s="21" t="str">
        <x:v>safeing proofs</x:v>
      </x:c>
      <x:c r="E91" s="21" t="n">
        <x:v>16</x:v>
      </x:c>
      <x:c r="F91" s="21" t="str">
        <x:v>OPEN</x:v>
      </x:c>
      <x:c r="G91" s="21" t="str"/>
      <x:c r="H91" s="21" t="str"/>
    </x:row>
    <x:row r="92">
      <x:c r="A92" s="21" t="str">
        <x:v>QE03-P01-D088</x:v>
      </x:c>
      <x:c r="B92" s="21" t="str">
        <x:v>QE03-P01</x:v>
      </x:c>
      <x:c r="C92" s="21" t="n">
        <x:v>88</x:v>
      </x:c>
      <x:c r="D92" s="21" t="str">
        <x:v>safeing proofs</x:v>
      </x:c>
      <x:c r="E92" s="21" t="n">
        <x:v>17</x:v>
      </x:c>
      <x:c r="F92" s="21" t="str">
        <x:v>OPEN</x:v>
      </x:c>
      <x:c r="G92" s="21" t="str"/>
      <x:c r="H92" s="21" t="str"/>
    </x:row>
    <x:row r="93">
      <x:c r="A93" s="21" t="str">
        <x:v>QE03-P01-D089</x:v>
      </x:c>
      <x:c r="B93" s="21" t="str">
        <x:v>QE03-P01</x:v>
      </x:c>
      <x:c r="C93" s="21" t="n">
        <x:v>89</x:v>
      </x:c>
      <x:c r="D93" s="21" t="str">
        <x:v>safeing proofs</x:v>
      </x:c>
      <x:c r="E93" s="21" t="n">
        <x:v>18</x:v>
      </x:c>
      <x:c r="F93" s="21" t="str">
        <x:v>OPEN</x:v>
      </x:c>
      <x:c r="G93" s="21" t="str"/>
      <x:c r="H93" s="21" t="str"/>
    </x:row>
    <x:row r="94">
      <x:c r="A94" s="21" t="str">
        <x:v>QE03-P01-D090</x:v>
      </x:c>
      <x:c r="B94" s="21" t="str">
        <x:v>QE03-P01</x:v>
      </x:c>
      <x:c r="C94" s="21" t="n">
        <x:v>90</x:v>
      </x:c>
      <x:c r="D94" s="21" t="str">
        <x:v>safeing proofs</x:v>
      </x:c>
      <x:c r="E94" s="21" t="n">
        <x:v>19</x:v>
      </x:c>
      <x:c r="F94" s="21" t="str">
        <x:v>OPEN</x:v>
      </x:c>
      <x:c r="G94" s="21" t="str"/>
      <x:c r="H94" s="21" t="str"/>
    </x:row>
    <x:row r="95">
      <x:c r="A95" s="21" t="str">
        <x:v>QE03-P01-D091</x:v>
      </x:c>
      <x:c r="B95" s="21" t="str">
        <x:v>QE03-P01</x:v>
      </x:c>
      <x:c r="C95" s="21" t="n">
        <x:v>91</x:v>
      </x:c>
      <x:c r="D95" s="21" t="str">
        <x:v>safeing proofs</x:v>
      </x:c>
      <x:c r="E95" s="21" t="n">
        <x:v>20</x:v>
      </x:c>
      <x:c r="F95" s="21" t="str">
        <x:v>OPEN</x:v>
      </x:c>
      <x:c r="G95" s="21" t="str"/>
      <x:c r="H95" s="21" t="str"/>
    </x:row>
    <x:row r="96">
      <x:c r="A96" s="21" t="str">
        <x:v>QE03-P01-D092</x:v>
      </x:c>
      <x:c r="B96" s="21" t="str">
        <x:v>QE03-P01</x:v>
      </x:c>
      <x:c r="C96" s="21" t="n">
        <x:v>92</x:v>
      </x:c>
      <x:c r="D96" s="21" t="str">
        <x:v>safeing proofs</x:v>
      </x:c>
      <x:c r="E96" s="21" t="n">
        <x:v>21</x:v>
      </x:c>
      <x:c r="F96" s="21" t="str">
        <x:v>OPEN</x:v>
      </x:c>
      <x:c r="G96" s="21" t="str"/>
      <x:c r="H96" s="21" t="str"/>
    </x:row>
    <x:row r="97">
      <x:c r="A97" s="21" t="str">
        <x:v>QE03-P01-D093</x:v>
      </x:c>
      <x:c r="B97" s="21" t="str">
        <x:v>QE03-P01</x:v>
      </x:c>
      <x:c r="C97" s="21" t="n">
        <x:v>93</x:v>
      </x:c>
      <x:c r="D97" s="21" t="str">
        <x:v>safeing proofs</x:v>
      </x:c>
      <x:c r="E97" s="21" t="n">
        <x:v>22</x:v>
      </x:c>
      <x:c r="F97" s="21" t="str">
        <x:v>OPEN</x:v>
      </x:c>
      <x:c r="G97" s="21" t="str"/>
      <x:c r="H97" s="21" t="str"/>
    </x:row>
    <x:row r="98">
      <x:c r="A98" s="21" t="str">
        <x:v>QE03-P01-D094</x:v>
      </x:c>
      <x:c r="B98" s="21" t="str">
        <x:v>QE03-P01</x:v>
      </x:c>
      <x:c r="C98" s="21" t="n">
        <x:v>94</x:v>
      </x:c>
      <x:c r="D98" s="21" t="str">
        <x:v>safeing proofs</x:v>
      </x:c>
      <x:c r="E98" s="21" t="n">
        <x:v>23</x:v>
      </x:c>
      <x:c r="F98" s="21" t="str">
        <x:v>OPEN</x:v>
      </x:c>
      <x:c r="G98" s="21" t="str"/>
      <x:c r="H98" s="21" t="str"/>
    </x:row>
    <x:row r="99">
      <x:c r="A99" s="21" t="str">
        <x:v>QE03-P01-D095</x:v>
      </x:c>
      <x:c r="B99" s="21" t="str">
        <x:v>QE03-P01</x:v>
      </x:c>
      <x:c r="C99" s="21" t="n">
        <x:v>95</x:v>
      </x:c>
      <x:c r="D99" s="21" t="str">
        <x:v>safeing proofs</x:v>
      </x:c>
      <x:c r="E99" s="21" t="n">
        <x:v>24</x:v>
      </x:c>
      <x:c r="F99" s="21" t="str">
        <x:v>OPEN</x:v>
      </x:c>
      <x:c r="G99" s="21" t="str"/>
      <x:c r="H99" s="21" t="str"/>
    </x:row>
    <x:row r="100">
      <x:c r="A100" s="21" t="str">
        <x:v>QE03-P01-D096</x:v>
      </x:c>
      <x:c r="B100" s="21" t="str">
        <x:v>QE03-P01</x:v>
      </x:c>
      <x:c r="C100" s="21" t="n">
        <x:v>96</x:v>
      </x:c>
      <x:c r="D100" s="21" t="str">
        <x:v>safeing proofs</x:v>
      </x:c>
      <x:c r="E100" s="21" t="n">
        <x:v>25</x:v>
      </x:c>
      <x:c r="F100" s="21" t="str">
        <x:v>OPEN</x:v>
      </x:c>
      <x:c r="G100" s="21" t="str"/>
      <x:c r="H100" s="21" t="str"/>
    </x:row>
    <x:row r="101">
      <x:c r="A101" s="21" t="str">
        <x:v>QE03-P01-D097</x:v>
      </x:c>
      <x:c r="B101" s="21" t="str">
        <x:v>QE03-P01</x:v>
      </x:c>
      <x:c r="C101" s="21" t="n">
        <x:v>97</x:v>
      </x:c>
      <x:c r="D101" s="21" t="str">
        <x:v>safeing proofs</x:v>
      </x:c>
      <x:c r="E101" s="21" t="n">
        <x:v>26</x:v>
      </x:c>
      <x:c r="F101" s="21" t="str">
        <x:v>OPEN</x:v>
      </x:c>
      <x:c r="G101" s="21" t="str"/>
      <x:c r="H101" s="21" t="str"/>
    </x:row>
    <x:row r="102">
      <x:c r="A102" s="21" t="str">
        <x:v>QE03-P01-D098</x:v>
      </x:c>
      <x:c r="B102" s="21" t="str">
        <x:v>QE03-P01</x:v>
      </x:c>
      <x:c r="C102" s="21" t="n">
        <x:v>98</x:v>
      </x:c>
      <x:c r="D102" s="21" t="str">
        <x:v>safeing proofs</x:v>
      </x:c>
      <x:c r="E102" s="21" t="n">
        <x:v>27</x:v>
      </x:c>
      <x:c r="F102" s="21" t="str">
        <x:v>OPEN</x:v>
      </x:c>
      <x:c r="G102" s="21" t="str"/>
      <x:c r="H102" s="21" t="str"/>
    </x:row>
    <x:row r="103">
      <x:c r="A103" s="21" t="str">
        <x:v>QE03-P01-D099</x:v>
      </x:c>
      <x:c r="B103" s="21" t="str">
        <x:v>QE03-P01</x:v>
      </x:c>
      <x:c r="C103" s="21" t="n">
        <x:v>99</x:v>
      </x:c>
      <x:c r="D103" s="21" t="str">
        <x:v>safeing proofs</x:v>
      </x:c>
      <x:c r="E103" s="21" t="n">
        <x:v>28</x:v>
      </x:c>
      <x:c r="F103" s="21" t="str">
        <x:v>OPEN</x:v>
      </x:c>
      <x:c r="G103" s="21" t="str"/>
      <x:c r="H103" s="21" t="str"/>
    </x:row>
    <x:row r="104">
      <x:c r="A104" s="21" t="str">
        <x:v>QE03-P01-D100</x:v>
      </x:c>
      <x:c r="B104" s="21" t="str">
        <x:v>QE03-P01</x:v>
      </x:c>
      <x:c r="C104" s="21" t="n">
        <x:v>100</x:v>
      </x:c>
      <x:c r="D104" s="21" t="str">
        <x:v>safeing proofs</x:v>
      </x:c>
      <x:c r="E104" s="21" t="n">
        <x:v>29</x:v>
      </x:c>
      <x:c r="F104" s="21" t="str">
        <x:v>OPEN</x:v>
      </x:c>
      <x:c r="G104" s="21" t="str"/>
      <x:c r="H104" s="21" t="str"/>
    </x:row>
    <x:row r="105">
      <x:c r="A105" s="21" t="str">
        <x:v>QE03-P01-D101</x:v>
      </x:c>
      <x:c r="B105" s="21" t="str">
        <x:v>QE03-P01</x:v>
      </x:c>
      <x:c r="C105" s="21" t="n">
        <x:v>101</x:v>
      </x:c>
      <x:c r="D105" s="21" t="str">
        <x:v>safeing proofs</x:v>
      </x:c>
      <x:c r="E105" s="21" t="n">
        <x:v>30</x:v>
      </x:c>
      <x:c r="F105" s="21" t="str">
        <x:v>OPEN</x:v>
      </x:c>
      <x:c r="G105" s="21" t="str"/>
      <x:c r="H105" s="21" t="str"/>
    </x:row>
    <x:row r="106">
      <x:c r="A106" s="21" t="str">
        <x:v>QE03-P01-D102</x:v>
      </x:c>
      <x:c r="B106" s="21" t="str">
        <x:v>QE03-P01</x:v>
      </x:c>
      <x:c r="C106" s="21" t="n">
        <x:v>102</x:v>
      </x:c>
      <x:c r="D106" s="21" t="str">
        <x:v>safeing proofs</x:v>
      </x:c>
      <x:c r="E106" s="21" t="n">
        <x:v>31</x:v>
      </x:c>
      <x:c r="F106" s="21" t="str">
        <x:v>OPEN</x:v>
      </x:c>
      <x:c r="G106" s="21" t="str"/>
      <x:c r="H106" s="21" t="str"/>
    </x:row>
    <x:row r="107">
      <x:c r="A107" s="21" t="str">
        <x:v>QE03-P01-D103</x:v>
      </x:c>
      <x:c r="B107" s="21" t="str">
        <x:v>QE03-P01</x:v>
      </x:c>
      <x:c r="C107" s="21" t="n">
        <x:v>103</x:v>
      </x:c>
      <x:c r="D107" s="21" t="str">
        <x:v>safeing proofs</x:v>
      </x:c>
      <x:c r="E107" s="21" t="n">
        <x:v>32</x:v>
      </x:c>
      <x:c r="F107" s="21" t="str">
        <x:v>OPEN</x:v>
      </x:c>
      <x:c r="G107" s="21" t="str"/>
      <x:c r="H107" s="21" t="str"/>
    </x:row>
    <x:row r="108">
      <x:c r="A108" s="21" t="str">
        <x:v>QE03-P01-D104</x:v>
      </x:c>
      <x:c r="B108" s="21" t="str">
        <x:v>QE03-P01</x:v>
      </x:c>
      <x:c r="C108" s="21" t="n">
        <x:v>104</x:v>
      </x:c>
      <x:c r="D108" s="21" t="str">
        <x:v>safeing proofs</x:v>
      </x:c>
      <x:c r="E108" s="21" t="n">
        <x:v>33</x:v>
      </x:c>
      <x:c r="F108" s="21" t="str">
        <x:v>OPEN</x:v>
      </x:c>
      <x:c r="G108" s="21" t="str"/>
      <x:c r="H108" s="21" t="str"/>
    </x:row>
    <x:row r="109">
      <x:c r="A109" s="21" t="str">
        <x:v>QE03-P01-D105</x:v>
      </x:c>
      <x:c r="B109" s="21" t="str">
        <x:v>QE03-P01</x:v>
      </x:c>
      <x:c r="C109" s="21" t="n">
        <x:v>105</x:v>
      </x:c>
      <x:c r="D109" s="21" t="str">
        <x:v>safeing proofs</x:v>
      </x:c>
      <x:c r="E109" s="21" t="n">
        <x:v>34</x:v>
      </x:c>
      <x:c r="F109" s="21" t="str">
        <x:v>OPEN</x:v>
      </x:c>
      <x:c r="G109" s="21" t="str"/>
      <x:c r="H109" s="21" t="str"/>
    </x:row>
    <x:row r="110">
      <x:c r="A110" s="21" t="str">
        <x:v>QE03-P01-D106</x:v>
      </x:c>
      <x:c r="B110" s="21" t="str">
        <x:v>QE03-P01</x:v>
      </x:c>
      <x:c r="C110" s="21" t="n">
        <x:v>106</x:v>
      </x:c>
      <x:c r="D110" s="21" t="str">
        <x:v>safeing proofs</x:v>
      </x:c>
      <x:c r="E110" s="21" t="n">
        <x:v>35</x:v>
      </x:c>
      <x:c r="F110" s="21" t="str">
        <x:v>OPEN</x:v>
      </x:c>
      <x:c r="G110" s="21" t="str"/>
      <x:c r="H110" s="21" t="str"/>
    </x:row>
    <x:row r="111">
      <x:c r="A111" s="21" t="str">
        <x:v>QE03-P01-D107</x:v>
      </x:c>
      <x:c r="B111" s="21" t="str">
        <x:v>QE03-P01</x:v>
      </x:c>
      <x:c r="C111" s="21" t="n">
        <x:v>107</x:v>
      </x:c>
      <x:c r="D111" s="21" t="str">
        <x:v>safeing proofs</x:v>
      </x:c>
      <x:c r="E111" s="21" t="n">
        <x:v>36</x:v>
      </x:c>
      <x:c r="F111" s="21" t="str">
        <x:v>OPEN</x:v>
      </x:c>
      <x:c r="G111" s="21" t="str"/>
      <x:c r="H111" s="21" t="str"/>
    </x:row>
    <x:row r="112">
      <x:c r="A112" s="21" t="str">
        <x:v>QE03-P01-D108</x:v>
      </x:c>
      <x:c r="B112" s="21" t="str">
        <x:v>QE03-P01</x:v>
      </x:c>
      <x:c r="C112" s="21" t="n">
        <x:v>108</x:v>
      </x:c>
      <x:c r="D112" s="21" t="str">
        <x:v>walkdowns</x:v>
      </x:c>
      <x:c r="E112" s="21" t="n">
        <x:v>1</x:v>
      </x:c>
      <x:c r="F112" s="21" t="str">
        <x:v>OPEN</x:v>
      </x:c>
      <x:c r="G112" s="21" t="str"/>
      <x:c r="H112" s="21" t="str"/>
    </x:row>
    <x:row r="113">
      <x:c r="A113" s="21" t="str">
        <x:v>QE03-P01-D109</x:v>
      </x:c>
      <x:c r="B113" s="21" t="str">
        <x:v>QE03-P01</x:v>
      </x:c>
      <x:c r="C113" s="21" t="n">
        <x:v>109</x:v>
      </x:c>
      <x:c r="D113" s="21" t="str">
        <x:v>walkdowns</x:v>
      </x:c>
      <x:c r="E113" s="21" t="n">
        <x:v>2</x:v>
      </x:c>
      <x:c r="F113" s="21" t="str">
        <x:v>OPEN</x:v>
      </x:c>
      <x:c r="G113" s="21" t="str"/>
      <x:c r="H113" s="21" t="str"/>
    </x:row>
    <x:row r="114">
      <x:c r="A114" s="21" t="str">
        <x:v>QE03-P01-D110</x:v>
      </x:c>
      <x:c r="B114" s="21" t="str">
        <x:v>QE03-P01</x:v>
      </x:c>
      <x:c r="C114" s="21" t="n">
        <x:v>110</x:v>
      </x:c>
      <x:c r="D114" s="21" t="str">
        <x:v>walkdowns</x:v>
      </x:c>
      <x:c r="E114" s="21" t="n">
        <x:v>3</x:v>
      </x:c>
      <x:c r="F114" s="21" t="str">
        <x:v>OPEN</x:v>
      </x:c>
      <x:c r="G114" s="21" t="str"/>
      <x:c r="H114" s="21" t="str"/>
    </x:row>
    <x:row r="115">
      <x:c r="A115" s="21" t="str">
        <x:v>QE03-P01-D111</x:v>
      </x:c>
      <x:c r="B115" s="21" t="str">
        <x:v>QE03-P01</x:v>
      </x:c>
      <x:c r="C115" s="21" t="n">
        <x:v>111</x:v>
      </x:c>
      <x:c r="D115" s="21" t="str">
        <x:v>walkdowns</x:v>
      </x:c>
      <x:c r="E115" s="21" t="n">
        <x:v>4</x:v>
      </x:c>
      <x:c r="F115" s="21" t="str">
        <x:v>OPEN</x:v>
      </x:c>
      <x:c r="G115" s="21" t="str"/>
      <x:c r="H115" s="21" t="str"/>
    </x:row>
    <x:row r="116">
      <x:c r="A116" s="21" t="str">
        <x:v>QE03-P01-D112</x:v>
      </x:c>
      <x:c r="B116" s="21" t="str">
        <x:v>QE03-P01</x:v>
      </x:c>
      <x:c r="C116" s="21" t="n">
        <x:v>112</x:v>
      </x:c>
      <x:c r="D116" s="21" t="str">
        <x:v>walkdowns</x:v>
      </x:c>
      <x:c r="E116" s="21" t="n">
        <x:v>5</x:v>
      </x:c>
      <x:c r="F116" s="21" t="str">
        <x:v>OPEN</x:v>
      </x:c>
      <x:c r="G116" s="21" t="str"/>
      <x:c r="H116" s="21" t="str"/>
    </x:row>
    <x:row r="117">
      <x:c r="A117" s="21" t="str">
        <x:v>QE03-P01-D113</x:v>
      </x:c>
      <x:c r="B117" s="21" t="str">
        <x:v>QE03-P01</x:v>
      </x:c>
      <x:c r="C117" s="21" t="n">
        <x:v>113</x:v>
      </x:c>
      <x:c r="D117" s="21" t="str">
        <x:v>walkdowns</x:v>
      </x:c>
      <x:c r="E117" s="21" t="n">
        <x:v>6</x:v>
      </x:c>
      <x:c r="F117" s="21" t="str">
        <x:v>OPEN</x:v>
      </x:c>
      <x:c r="G117" s="21" t="str"/>
      <x:c r="H117" s="21" t="str"/>
    </x:row>
    <x:row r="118">
      <x:c r="A118" s="21" t="str">
        <x:v>QE03-P01-D114</x:v>
      </x:c>
      <x:c r="B118" s="21" t="str">
        <x:v>QE03-P01</x:v>
      </x:c>
      <x:c r="C118" s="21" t="n">
        <x:v>114</x:v>
      </x:c>
      <x:c r="D118" s="21" t="str">
        <x:v>walkdowns</x:v>
      </x:c>
      <x:c r="E118" s="21" t="n">
        <x:v>7</x:v>
      </x:c>
      <x:c r="F118" s="21" t="str">
        <x:v>OPEN</x:v>
      </x:c>
      <x:c r="G118" s="21" t="str"/>
      <x:c r="H118" s="21" t="str"/>
    </x:row>
    <x:row r="119">
      <x:c r="A119" s="21" t="str">
        <x:v>QE03-P01-D115</x:v>
      </x:c>
      <x:c r="B119" s="21" t="str">
        <x:v>QE03-P01</x:v>
      </x:c>
      <x:c r="C119" s="21" t="n">
        <x:v>115</x:v>
      </x:c>
      <x:c r="D119" s="21" t="str">
        <x:v>walkdowns</x:v>
      </x:c>
      <x:c r="E119" s="21" t="n">
        <x:v>8</x:v>
      </x:c>
      <x:c r="F119" s="21" t="str">
        <x:v>OPEN</x:v>
      </x:c>
      <x:c r="G119" s="21" t="str"/>
      <x:c r="H119" s="21" t="str"/>
    </x:row>
    <x:row r="120">
      <x:c r="A120" s="21" t="str">
        <x:v>QE03-P01-D116</x:v>
      </x:c>
      <x:c r="B120" s="21" t="str">
        <x:v>QE03-P01</x:v>
      </x:c>
      <x:c r="C120" s="21" t="n">
        <x:v>116</x:v>
      </x:c>
      <x:c r="D120" s="21" t="str">
        <x:v>walkdowns</x:v>
      </x:c>
      <x:c r="E120" s="21" t="n">
        <x:v>9</x:v>
      </x:c>
      <x:c r="F120" s="21" t="str">
        <x:v>OPEN</x:v>
      </x:c>
      <x:c r="G120" s="21" t="str"/>
      <x:c r="H120" s="21" t="str"/>
    </x:row>
    <x:row r="121">
      <x:c r="A121" s="21" t="str">
        <x:v>QE03-P01-D117</x:v>
      </x:c>
      <x:c r="B121" s="21" t="str">
        <x:v>QE03-P01</x:v>
      </x:c>
      <x:c r="C121" s="21" t="n">
        <x:v>117</x:v>
      </x:c>
      <x:c r="D121" s="21" t="str">
        <x:v>walkdowns</x:v>
      </x:c>
      <x:c r="E121" s="21" t="n">
        <x:v>10</x:v>
      </x:c>
      <x:c r="F121" s="21" t="str">
        <x:v>OPEN</x:v>
      </x:c>
      <x:c r="G121" s="21" t="str"/>
      <x:c r="H121" s="21" t="str"/>
    </x:row>
    <x:row r="122">
      <x:c r="A122" s="21" t="str">
        <x:v>QE03-P01-D118</x:v>
      </x:c>
      <x:c r="B122" s="21" t="str">
        <x:v>QE03-P01</x:v>
      </x:c>
      <x:c r="C122" s="21" t="n">
        <x:v>118</x:v>
      </x:c>
      <x:c r="D122" s="21" t="str">
        <x:v>walkdowns</x:v>
      </x:c>
      <x:c r="E122" s="21" t="n">
        <x:v>11</x:v>
      </x:c>
      <x:c r="F122" s="21" t="str">
        <x:v>OPEN</x:v>
      </x:c>
      <x:c r="G122" s="21" t="str"/>
      <x:c r="H122" s="21" t="str"/>
    </x:row>
    <x:row r="123">
      <x:c r="A123" s="21" t="str">
        <x:v>QE03-P01-D119</x:v>
      </x:c>
      <x:c r="B123" s="21" t="str">
        <x:v>QE03-P01</x:v>
      </x:c>
      <x:c r="C123" s="21" t="n">
        <x:v>119</x:v>
      </x:c>
      <x:c r="D123" s="21" t="str">
        <x:v>walkdowns</x:v>
      </x:c>
      <x:c r="E123" s="21" t="n">
        <x:v>12</x:v>
      </x:c>
      <x:c r="F123" s="21" t="str">
        <x:v>OPEN</x:v>
      </x:c>
      <x:c r="G123" s="21" t="str"/>
      <x:c r="H123" s="21" t="str"/>
    </x:row>
    <x:row r="124">
      <x:c r="A124" s="21" t="str">
        <x:v>QE03-P01-D120</x:v>
      </x:c>
      <x:c r="B124" s="21" t="str">
        <x:v>QE03-P01</x:v>
      </x:c>
      <x:c r="C124" s="21" t="n">
        <x:v>120</x:v>
      </x:c>
      <x:c r="D124" s="21" t="str">
        <x:v>walkdowns</x:v>
      </x:c>
      <x:c r="E124" s="21" t="n">
        <x:v>13</x:v>
      </x:c>
      <x:c r="F124" s="21" t="str">
        <x:v>OPEN</x:v>
      </x:c>
      <x:c r="G124" s="21" t="str"/>
      <x:c r="H124" s="21" t="str"/>
    </x:row>
    <x:row r="125">
      <x:c r="A125" s="21" t="str">
        <x:v>QE03-P01-D121</x:v>
      </x:c>
      <x:c r="B125" s="21" t="str">
        <x:v>QE03-P01</x:v>
      </x:c>
      <x:c r="C125" s="21" t="n">
        <x:v>121</x:v>
      </x:c>
      <x:c r="D125" s="21" t="str">
        <x:v>walkdowns</x:v>
      </x:c>
      <x:c r="E125" s="21" t="n">
        <x:v>14</x:v>
      </x:c>
      <x:c r="F125" s="21" t="str">
        <x:v>OPEN</x:v>
      </x:c>
      <x:c r="G125" s="21" t="str"/>
      <x:c r="H125" s="21" t="str"/>
    </x:row>
    <x:row r="126">
      <x:c r="A126" s="21" t="str">
        <x:v>QE03-P01-D122</x:v>
      </x:c>
      <x:c r="B126" s="21" t="str">
        <x:v>QE03-P01</x:v>
      </x:c>
      <x:c r="C126" s="21" t="n">
        <x:v>122</x:v>
      </x:c>
      <x:c r="D126" s="21" t="str">
        <x:v>walkdowns</x:v>
      </x:c>
      <x:c r="E126" s="21" t="n">
        <x:v>15</x:v>
      </x:c>
      <x:c r="F126" s="21" t="str">
        <x:v>OPEN</x:v>
      </x:c>
      <x:c r="G126" s="21" t="str"/>
      <x:c r="H126" s="21" t="str"/>
    </x:row>
    <x:row r="127">
      <x:c r="A127" s="21" t="str">
        <x:v>QE03-P01-D123</x:v>
      </x:c>
      <x:c r="B127" s="21" t="str">
        <x:v>QE03-P01</x:v>
      </x:c>
      <x:c r="C127" s="21" t="n">
        <x:v>123</x:v>
      </x:c>
      <x:c r="D127" s="21" t="str">
        <x:v>walkdowns</x:v>
      </x:c>
      <x:c r="E127" s="21" t="n">
        <x:v>16</x:v>
      </x:c>
      <x:c r="F127" s="21" t="str">
        <x:v>OPEN</x:v>
      </x:c>
      <x:c r="G127" s="21" t="str"/>
      <x:c r="H127" s="21" t="str"/>
    </x:row>
    <x:row r="128">
      <x:c r="A128" s="21" t="str">
        <x:v>QE03-P01-D124</x:v>
      </x:c>
      <x:c r="B128" s="21" t="str">
        <x:v>QE03-P01</x:v>
      </x:c>
      <x:c r="C128" s="21" t="n">
        <x:v>124</x:v>
      </x:c>
      <x:c r="D128" s="21" t="str">
        <x:v>walkdowns</x:v>
      </x:c>
      <x:c r="E128" s="21" t="n">
        <x:v>17</x:v>
      </x:c>
      <x:c r="F128" s="21" t="str">
        <x:v>OPEN</x:v>
      </x:c>
      <x:c r="G128" s="21" t="str"/>
      <x:c r="H128" s="21" t="str"/>
    </x:row>
    <x:row r="129">
      <x:c r="A129" s="21" t="str">
        <x:v>QE03-P01-D125</x:v>
      </x:c>
      <x:c r="B129" s="21" t="str">
        <x:v>QE03-P01</x:v>
      </x:c>
      <x:c r="C129" s="21" t="n">
        <x:v>125</x:v>
      </x:c>
      <x:c r="D129" s="21" t="str">
        <x:v>walkdowns</x:v>
      </x:c>
      <x:c r="E129" s="21" t="n">
        <x:v>18</x:v>
      </x:c>
      <x:c r="F129" s="21" t="str">
        <x:v>OPEN</x:v>
      </x:c>
      <x:c r="G129" s="21" t="str"/>
      <x:c r="H129" s="21" t="str"/>
    </x:row>
    <x:row r="130">
      <x:c r="A130" s="21" t="str">
        <x:v>QE03-P01-D126</x:v>
      </x:c>
      <x:c r="B130" s="21" t="str">
        <x:v>QE03-P01</x:v>
      </x:c>
      <x:c r="C130" s="21" t="n">
        <x:v>126</x:v>
      </x:c>
      <x:c r="D130" s="21" t="str">
        <x:v>walkdowns</x:v>
      </x:c>
      <x:c r="E130" s="21" t="n">
        <x:v>19</x:v>
      </x:c>
      <x:c r="F130" s="21" t="str">
        <x:v>OPEN</x:v>
      </x:c>
      <x:c r="G130" s="21" t="str"/>
      <x:c r="H130" s="21" t="str"/>
    </x:row>
    <x:row r="131">
      <x:c r="A131" s="21" t="str">
        <x:v>QE03-P01-D127</x:v>
      </x:c>
      <x:c r="B131" s="21" t="str">
        <x:v>QE03-P01</x:v>
      </x:c>
      <x:c r="C131" s="21" t="n">
        <x:v>127</x:v>
      </x:c>
      <x:c r="D131" s="21" t="str">
        <x:v>walkdowns</x:v>
      </x:c>
      <x:c r="E131" s="21" t="n">
        <x:v>20</x:v>
      </x:c>
      <x:c r="F131" s="21" t="str">
        <x:v>OPEN</x:v>
      </x:c>
      <x:c r="G131" s="21" t="str"/>
      <x:c r="H131" s="21" t="str"/>
    </x:row>
    <x:row r="132">
      <x:c r="A132" s="21" t="str">
        <x:v>QE03-P01-D128</x:v>
      </x:c>
      <x:c r="B132" s="21" t="str">
        <x:v>QE03-P01</x:v>
      </x:c>
      <x:c r="C132" s="21" t="n">
        <x:v>128</x:v>
      </x:c>
      <x:c r="D132" s="21" t="str">
        <x:v>walkdowns</x:v>
      </x:c>
      <x:c r="E132" s="21" t="n">
        <x:v>21</x:v>
      </x:c>
      <x:c r="F132" s="21" t="str">
        <x:v>OPEN</x:v>
      </x:c>
      <x:c r="G132" s="21" t="str"/>
      <x:c r="H132" s="21" t="str"/>
    </x:row>
    <x:row r="133">
      <x:c r="A133" s="21" t="str">
        <x:v>QE03-P01-D129</x:v>
      </x:c>
      <x:c r="B133" s="21" t="str">
        <x:v>QE03-P01</x:v>
      </x:c>
      <x:c r="C133" s="21" t="n">
        <x:v>129</x:v>
      </x:c>
      <x:c r="D133" s="21" t="str">
        <x:v>walkdowns</x:v>
      </x:c>
      <x:c r="E133" s="21" t="n">
        <x:v>22</x:v>
      </x:c>
      <x:c r="F133" s="21" t="str">
        <x:v>OPEN</x:v>
      </x:c>
      <x:c r="G133" s="21" t="str"/>
      <x:c r="H133" s="21" t="str"/>
    </x:row>
    <x:row r="134">
      <x:c r="A134" s="21" t="str">
        <x:v>QE03-P01-D130</x:v>
      </x:c>
      <x:c r="B134" s="21" t="str">
        <x:v>QE03-P01</x:v>
      </x:c>
      <x:c r="C134" s="21" t="n">
        <x:v>130</x:v>
      </x:c>
      <x:c r="D134" s="21" t="str">
        <x:v>walkdowns</x:v>
      </x:c>
      <x:c r="E134" s="21" t="n">
        <x:v>23</x:v>
      </x:c>
      <x:c r="F134" s="21" t="str">
        <x:v>OPEN</x:v>
      </x:c>
      <x:c r="G134" s="21" t="str"/>
      <x:c r="H134" s="21" t="str"/>
    </x:row>
    <x:row r="135">
      <x:c r="A135" s="21" t="str">
        <x:v>QE03-P01-D131</x:v>
      </x:c>
      <x:c r="B135" s="21" t="str">
        <x:v>QE03-P01</x:v>
      </x:c>
      <x:c r="C135" s="21" t="n">
        <x:v>131</x:v>
      </x:c>
      <x:c r="D135" s="21" t="str">
        <x:v>walkdowns</x:v>
      </x:c>
      <x:c r="E135" s="21" t="n">
        <x:v>24</x:v>
      </x:c>
      <x:c r="F135" s="21" t="str">
        <x:v>OPEN</x:v>
      </x:c>
      <x:c r="G135" s="21" t="str"/>
      <x:c r="H135" s="21" t="str"/>
    </x:row>
    <x:row r="136">
      <x:c r="A136" s="21" t="str">
        <x:v>QE03-P01-D132</x:v>
      </x:c>
      <x:c r="B136" s="21" t="str">
        <x:v>QE03-P01</x:v>
      </x:c>
      <x:c r="C136" s="21" t="n">
        <x:v>132</x:v>
      </x:c>
      <x:c r="D136" s="21" t="str">
        <x:v>walkdowns</x:v>
      </x:c>
      <x:c r="E136" s="21" t="n">
        <x:v>25</x:v>
      </x:c>
      <x:c r="F136" s="21" t="str">
        <x:v>OPEN</x:v>
      </x:c>
      <x:c r="G136" s="21" t="str"/>
      <x:c r="H136" s="21" t="str"/>
    </x:row>
    <x:row r="137">
      <x:c r="A137" s="21" t="str">
        <x:v>QE03-P01-D133</x:v>
      </x:c>
      <x:c r="B137" s="21" t="str">
        <x:v>QE03-P01</x:v>
      </x:c>
      <x:c r="C137" s="21" t="n">
        <x:v>133</x:v>
      </x:c>
      <x:c r="D137" s="21" t="str">
        <x:v>walkdowns</x:v>
      </x:c>
      <x:c r="E137" s="21" t="n">
        <x:v>26</x:v>
      </x:c>
      <x:c r="F137" s="21" t="str">
        <x:v>OPEN</x:v>
      </x:c>
      <x:c r="G137" s="21" t="str"/>
      <x:c r="H137" s="21" t="str"/>
    </x:row>
    <x:row r="138">
      <x:c r="A138" s="21" t="str">
        <x:v>QE03-P01-D134</x:v>
      </x:c>
      <x:c r="B138" s="21" t="str">
        <x:v>QE03-P01</x:v>
      </x:c>
      <x:c r="C138" s="21" t="n">
        <x:v>134</x:v>
      </x:c>
      <x:c r="D138" s="21" t="str">
        <x:v>walkdowns</x:v>
      </x:c>
      <x:c r="E138" s="21" t="n">
        <x:v>27</x:v>
      </x:c>
      <x:c r="F138" s="21" t="str">
        <x:v>OPEN</x:v>
      </x:c>
      <x:c r="G138" s="21" t="str"/>
      <x:c r="H138" s="21" t="str"/>
    </x:row>
    <x:row r="139">
      <x:c r="A139" s="21" t="str">
        <x:v>QE03-P01-D135</x:v>
      </x:c>
      <x:c r="B139" s="21" t="str">
        <x:v>QE03-P01</x:v>
      </x:c>
      <x:c r="C139" s="21" t="n">
        <x:v>135</x:v>
      </x:c>
      <x:c r="D139" s="21" t="str">
        <x:v>walkdowns</x:v>
      </x:c>
      <x:c r="E139" s="21" t="n">
        <x:v>28</x:v>
      </x:c>
      <x:c r="F139" s="21" t="str">
        <x:v>OPEN</x:v>
      </x:c>
      <x:c r="G139" s="21" t="str"/>
      <x:c r="H139" s="21" t="str"/>
    </x:row>
    <x:row r="140">
      <x:c r="A140" s="21" t="str">
        <x:v>QE03-P01-D136</x:v>
      </x:c>
      <x:c r="B140" s="21" t="str">
        <x:v>QE03-P01</x:v>
      </x:c>
      <x:c r="C140" s="21" t="n">
        <x:v>136</x:v>
      </x:c>
      <x:c r="D140" s="21" t="str">
        <x:v>walkdowns</x:v>
      </x:c>
      <x:c r="E140" s="21" t="n">
        <x:v>29</x:v>
      </x:c>
      <x:c r="F140" s="21" t="str">
        <x:v>OPEN</x:v>
      </x:c>
      <x:c r="G140" s="21" t="str"/>
      <x:c r="H140" s="21" t="str"/>
    </x:row>
    <x:row r="141">
      <x:c r="A141" s="21" t="str">
        <x:v>QE03-P01-D137</x:v>
      </x:c>
      <x:c r="B141" s="21" t="str">
        <x:v>QE03-P01</x:v>
      </x:c>
      <x:c r="C141" s="21" t="n">
        <x:v>137</x:v>
      </x:c>
      <x:c r="D141" s="21" t="str">
        <x:v>walkdowns</x:v>
      </x:c>
      <x:c r="E141" s="21" t="n">
        <x:v>30</x:v>
      </x:c>
      <x:c r="F141" s="21" t="str">
        <x:v>OPEN</x:v>
      </x:c>
      <x:c r="G141" s="21" t="str"/>
      <x:c r="H141" s="21" t="str"/>
    </x:row>
    <x:row r="142">
      <x:c r="A142" s="21" t="str">
        <x:v>QE03-P01-D138</x:v>
      </x:c>
      <x:c r="B142" s="21" t="str">
        <x:v>QE03-P01</x:v>
      </x:c>
      <x:c r="C142" s="21" t="n">
        <x:v>138</x:v>
      </x:c>
      <x:c r="D142" s="21" t="str">
        <x:v>walkdowns</x:v>
      </x:c>
      <x:c r="E142" s="21" t="n">
        <x:v>31</x:v>
      </x:c>
      <x:c r="F142" s="21" t="str">
        <x:v>OPEN</x:v>
      </x:c>
      <x:c r="G142" s="21" t="str"/>
      <x:c r="H142" s="21" t="str"/>
    </x:row>
    <x:row r="143">
      <x:c r="A143" s="21" t="str">
        <x:v>QE03-P01-D139</x:v>
      </x:c>
      <x:c r="B143" s="21" t="str">
        <x:v>QE03-P01</x:v>
      </x:c>
      <x:c r="C143" s="21" t="n">
        <x:v>139</x:v>
      </x:c>
      <x:c r="D143" s="21" t="str">
        <x:v>walkdowns</x:v>
      </x:c>
      <x:c r="E143" s="21" t="n">
        <x:v>32</x:v>
      </x:c>
      <x:c r="F143" s="21" t="str">
        <x:v>OPEN</x:v>
      </x:c>
      <x:c r="G143" s="21" t="str"/>
      <x:c r="H143" s="21" t="str"/>
    </x:row>
    <x:row r="144">
      <x:c r="A144" s="21" t="str">
        <x:v>QE03-P01-D140</x:v>
      </x:c>
      <x:c r="B144" s="21" t="str">
        <x:v>QE03-P01</x:v>
      </x:c>
      <x:c r="C144" s="21" t="n">
        <x:v>140</x:v>
      </x:c>
      <x:c r="D144" s="21" t="str">
        <x:v>neighbor proofs</x:v>
      </x:c>
      <x:c r="E144" s="21" t="n">
        <x:v>1</x:v>
      </x:c>
      <x:c r="F144" s="21" t="str">
        <x:v>OPEN</x:v>
      </x:c>
      <x:c r="G144" s="21" t="str"/>
      <x:c r="H144" s="21" t="str"/>
    </x:row>
    <x:row r="145">
      <x:c r="A145" s="21" t="str">
        <x:v>QE03-P01-D141</x:v>
      </x:c>
      <x:c r="B145" s="21" t="str">
        <x:v>QE03-P01</x:v>
      </x:c>
      <x:c r="C145" s="21" t="n">
        <x:v>141</x:v>
      </x:c>
      <x:c r="D145" s="21" t="str">
        <x:v>neighbor proofs</x:v>
      </x:c>
      <x:c r="E145" s="21" t="n">
        <x:v>2</x:v>
      </x:c>
      <x:c r="F145" s="21" t="str">
        <x:v>OPEN</x:v>
      </x:c>
      <x:c r="G145" s="21" t="str"/>
      <x:c r="H145" s="21" t="str"/>
    </x:row>
    <x:row r="146">
      <x:c r="A146" s="21" t="str">
        <x:v>QE03-P01-D142</x:v>
      </x:c>
      <x:c r="B146" s="21" t="str">
        <x:v>QE03-P01</x:v>
      </x:c>
      <x:c r="C146" s="21" t="n">
        <x:v>142</x:v>
      </x:c>
      <x:c r="D146" s="21" t="str">
        <x:v>neighbor proofs</x:v>
      </x:c>
      <x:c r="E146" s="21" t="n">
        <x:v>3</x:v>
      </x:c>
      <x:c r="F146" s="21" t="str">
        <x:v>OPEN</x:v>
      </x:c>
      <x:c r="G146" s="21" t="str"/>
      <x:c r="H146" s="21" t="str"/>
    </x:row>
    <x:row r="147">
      <x:c r="A147" s="21" t="str">
        <x:v>QE03-P01-D143</x:v>
      </x:c>
      <x:c r="B147" s="21" t="str">
        <x:v>QE03-P01</x:v>
      </x:c>
      <x:c r="C147" s="21" t="n">
        <x:v>143</x:v>
      </x:c>
      <x:c r="D147" s="21" t="str">
        <x:v>event holds</x:v>
      </x:c>
      <x:c r="E147" s="21" t="n">
        <x:v>1</x:v>
      </x:c>
      <x:c r="F147" s="21" t="str">
        <x:v>OPEN</x:v>
      </x:c>
      <x:c r="G147" s="21" t="str"/>
      <x:c r="H147" s="21" t="str"/>
    </x:row>
    <x:row r="148">
      <x:c r="A148" s="21" t="str">
        <x:v>QE03-P01-D144</x:v>
      </x:c>
      <x:c r="B148" s="21" t="str">
        <x:v>QE03-P01</x:v>
      </x:c>
      <x:c r="C148" s="21" t="n">
        <x:v>144</x:v>
      </x:c>
      <x:c r="D148" s="21" t="str">
        <x:v>event holds</x:v>
      </x:c>
      <x:c r="E148" s="21" t="n">
        <x:v>2</x:v>
      </x:c>
      <x:c r="F148" s="21" t="str">
        <x:v>OPEN</x:v>
      </x:c>
      <x:c r="G148" s="21" t="str"/>
      <x:c r="H148" s="21" t="str"/>
    </x:row>
    <x:row r="149">
      <x:c r="A149" s="21" t="str">
        <x:v>QE03-P01-D145</x:v>
      </x:c>
      <x:c r="B149" s="21" t="str">
        <x:v>QE03-P01</x:v>
      </x:c>
      <x:c r="C149" s="21" t="n">
        <x:v>145</x:v>
      </x:c>
      <x:c r="D149" s="21" t="str">
        <x:v>event holds</x:v>
      </x:c>
      <x:c r="E149" s="21" t="n">
        <x:v>3</x:v>
      </x:c>
      <x:c r="F149" s="21" t="str">
        <x:v>OPEN</x:v>
      </x:c>
      <x:c r="G149" s="21" t="str"/>
      <x:c r="H149" s="21" t="str"/>
    </x:row>
    <x:row r="150">
      <x:c r="A150" s="21" t="str">
        <x:v>QE03-P01-D146</x:v>
      </x:c>
      <x:c r="B150" s="21" t="str">
        <x:v>QE03-P01</x:v>
      </x:c>
      <x:c r="C150" s="21" t="n">
        <x:v>146</x:v>
      </x:c>
      <x:c r="D150" s="21" t="str">
        <x:v>event holds</x:v>
      </x:c>
      <x:c r="E150" s="21" t="n">
        <x:v>4</x:v>
      </x:c>
      <x:c r="F150" s="21" t="str">
        <x:v>OPEN</x:v>
      </x:c>
      <x:c r="G150" s="21" t="str"/>
      <x:c r="H150" s="21" t="str"/>
    </x:row>
    <x:row r="151">
      <x:c r="A151" s="21" t="str">
        <x:v>QE03-P01-D147</x:v>
      </x:c>
      <x:c r="B151" s="21" t="str">
        <x:v>QE03-P01</x:v>
      </x:c>
      <x:c r="C151" s="21" t="n">
        <x:v>147</x:v>
      </x:c>
      <x:c r="D151" s="21" t="str">
        <x:v>event holds</x:v>
      </x:c>
      <x:c r="E151" s="21" t="n">
        <x:v>5</x:v>
      </x:c>
      <x:c r="F151" s="21" t="str">
        <x:v>OPEN</x:v>
      </x:c>
      <x:c r="G151" s="21" t="str"/>
      <x:c r="H151" s="21" t="str"/>
    </x:row>
    <x:row r="152">
      <x:c r="A152" s="21" t="str">
        <x:v>QE03-P01-D148</x:v>
      </x:c>
      <x:c r="B152" s="21" t="str">
        <x:v>QE03-P01</x:v>
      </x:c>
      <x:c r="C152" s="21" t="n">
        <x:v>148</x:v>
      </x:c>
      <x:c r="D152" s="21" t="str">
        <x:v>event holds</x:v>
      </x:c>
      <x:c r="E152" s="21" t="n">
        <x:v>6</x:v>
      </x:c>
      <x:c r="F152" s="21" t="str">
        <x:v>OPEN</x:v>
      </x:c>
      <x:c r="G152" s="21" t="str"/>
      <x:c r="H152" s="21" t="str"/>
    </x:row>
    <x:row r="153">
      <x:c r="A153" s="21" t="str">
        <x:v>QE03-P01-D149</x:v>
      </x:c>
      <x:c r="B153" s="21" t="str">
        <x:v>QE03-P01</x:v>
      </x:c>
      <x:c r="C153" s="21" t="n">
        <x:v>149</x:v>
      </x:c>
      <x:c r="D153" s="21" t="str">
        <x:v>event holds</x:v>
      </x:c>
      <x:c r="E153" s="21" t="n">
        <x:v>7</x:v>
      </x:c>
      <x:c r="F153" s="21" t="str">
        <x:v>OPEN</x:v>
      </x:c>
      <x:c r="G153" s="21" t="str"/>
      <x:c r="H153" s="21" t="str"/>
    </x:row>
    <x:row r="154">
      <x:c r="A154" s="21" t="str">
        <x:v>QE03-P01-D150</x:v>
      </x:c>
      <x:c r="B154" s="21" t="str">
        <x:v>QE03-P01</x:v>
      </x:c>
      <x:c r="C154" s="21" t="n">
        <x:v>150</x:v>
      </x:c>
      <x:c r="D154" s="21" t="str">
        <x:v>event holds</x:v>
      </x:c>
      <x:c r="E154" s="21" t="n">
        <x:v>8</x:v>
      </x:c>
      <x:c r="F154" s="21" t="str">
        <x:v>OPEN</x:v>
      </x:c>
      <x:c r="G154" s="21" t="str"/>
      <x:c r="H154" s="21" t="str"/>
    </x:row>
    <x:row r="155">
      <x:c r="A155" s="21" t="str">
        <x:v>QE03-P01-D151</x:v>
      </x:c>
      <x:c r="B155" s="21" t="str">
        <x:v>QE03-P01</x:v>
      </x:c>
      <x:c r="C155" s="21" t="n">
        <x:v>151</x:v>
      </x:c>
      <x:c r="D155" s="21" t="str">
        <x:v>event holds</x:v>
      </x:c>
      <x:c r="E155" s="21" t="n">
        <x:v>9</x:v>
      </x:c>
      <x:c r="F155" s="21" t="str">
        <x:v>OPEN</x:v>
      </x:c>
      <x:c r="G155" s="21" t="str"/>
      <x:c r="H155" s="21" t="str"/>
    </x:row>
    <x:row r="156">
      <x:c r="A156" s="21" t="str">
        <x:v>QE03-P01-D152</x:v>
      </x:c>
      <x:c r="B156" s="21" t="str">
        <x:v>QE03-P01</x:v>
      </x:c>
      <x:c r="C156" s="21" t="n">
        <x:v>152</x:v>
      </x:c>
      <x:c r="D156" s="21" t="str">
        <x:v>event holds</x:v>
      </x:c>
      <x:c r="E156" s="21" t="n">
        <x:v>10</x:v>
      </x:c>
      <x:c r="F156" s="21" t="str">
        <x:v>OPEN</x:v>
      </x:c>
      <x:c r="G156" s="21" t="str"/>
      <x:c r="H156" s="21" t="str"/>
    </x:row>
    <x:row r="157">
      <x:c r="A157" s="21" t="str">
        <x:v>QE03-P01-D153</x:v>
      </x:c>
      <x:c r="B157" s="21" t="str">
        <x:v>QE03-P01</x:v>
      </x:c>
      <x:c r="C157" s="21" t="n">
        <x:v>153</x:v>
      </x:c>
      <x:c r="D157" s="21" t="str">
        <x:v>event holds</x:v>
      </x:c>
      <x:c r="E157" s="21" t="n">
        <x:v>11</x:v>
      </x:c>
      <x:c r="F157" s="21" t="str">
        <x:v>OPEN</x:v>
      </x:c>
      <x:c r="G157" s="21" t="str"/>
      <x:c r="H157" s="21" t="str"/>
    </x:row>
    <x:row r="158">
      <x:c r="A158" s="21" t="str">
        <x:v>QE03-P01-D154</x:v>
      </x:c>
      <x:c r="B158" s="21" t="str">
        <x:v>QE03-P01</x:v>
      </x:c>
      <x:c r="C158" s="21" t="n">
        <x:v>154</x:v>
      </x:c>
      <x:c r="D158" s="21" t="str">
        <x:v>event holds</x:v>
      </x:c>
      <x:c r="E158" s="21" t="n">
        <x:v>12</x:v>
      </x:c>
      <x:c r="F158" s="21" t="str">
        <x:v>OPEN</x:v>
      </x:c>
      <x:c r="G158" s="21" t="str"/>
      <x:c r="H158" s="21" t="str"/>
    </x:row>
    <x:row r="159">
      <x:c r="A159" s="21" t="str">
        <x:v>QE03-P01-D155</x:v>
      </x:c>
      <x:c r="B159" s="21" t="str">
        <x:v>QE03-P01</x:v>
      </x:c>
      <x:c r="C159" s="21" t="n">
        <x:v>155</x:v>
      </x:c>
      <x:c r="D159" s="21" t="str">
        <x:v>event holds</x:v>
      </x:c>
      <x:c r="E159" s="21" t="n">
        <x:v>13</x:v>
      </x:c>
      <x:c r="F159" s="21" t="str">
        <x:v>OPEN</x:v>
      </x:c>
      <x:c r="G159" s="21" t="str"/>
      <x:c r="H159" s="21" t="str"/>
    </x:row>
    <x:row r="160">
      <x:c r="A160" s="21" t="str">
        <x:v>QE03-P01-D156</x:v>
      </x:c>
      <x:c r="B160" s="21" t="str">
        <x:v>QE03-P01</x:v>
      </x:c>
      <x:c r="C160" s="21" t="n">
        <x:v>156</x:v>
      </x:c>
      <x:c r="D160" s="21" t="str">
        <x:v>event holds</x:v>
      </x:c>
      <x:c r="E160" s="21" t="n">
        <x:v>14</x:v>
      </x:c>
      <x:c r="F160" s="21" t="str">
        <x:v>OPEN</x:v>
      </x:c>
      <x:c r="G160" s="21" t="str"/>
      <x:c r="H160" s="21" t="str"/>
    </x:row>
    <x:row r="161">
      <x:c r="A161" s="21" t="str">
        <x:v>QE03-P01-D157</x:v>
      </x:c>
      <x:c r="B161" s="21" t="str">
        <x:v>QE03-P01</x:v>
      </x:c>
      <x:c r="C161" s="21" t="n">
        <x:v>157</x:v>
      </x:c>
      <x:c r="D161" s="21" t="str">
        <x:v>event holds</x:v>
      </x:c>
      <x:c r="E161" s="21" t="n">
        <x:v>15</x:v>
      </x:c>
      <x:c r="F161" s="21" t="str">
        <x:v>OPEN</x:v>
      </x:c>
      <x:c r="G161" s="21" t="str"/>
      <x:c r="H161" s="21" t="str"/>
    </x:row>
    <x:row r="162">
      <x:c r="A162" s="21" t="str">
        <x:v>QE03-P01-D158</x:v>
      </x:c>
      <x:c r="B162" s="21" t="str">
        <x:v>QE03-P01</x:v>
      </x:c>
      <x:c r="C162" s="21" t="n">
        <x:v>158</x:v>
      </x:c>
      <x:c r="D162" s="21" t="str">
        <x:v>event holds</x:v>
      </x:c>
      <x:c r="E162" s="21" t="n">
        <x:v>16</x:v>
      </x:c>
      <x:c r="F162" s="21" t="str">
        <x:v>OPEN</x:v>
      </x:c>
      <x:c r="G162" s="21" t="str"/>
      <x:c r="H162" s="21" t="str"/>
    </x:row>
    <x:row r="163">
      <x:c r="A163" s="21" t="str">
        <x:v>QE03-P01-D159</x:v>
      </x:c>
      <x:c r="B163" s="21" t="str">
        <x:v>QE03-P01</x:v>
      </x:c>
      <x:c r="C163" s="21" t="n">
        <x:v>159</x:v>
      </x:c>
      <x:c r="D163" s="21" t="str">
        <x:v>event holds</x:v>
      </x:c>
      <x:c r="E163" s="21" t="n">
        <x:v>17</x:v>
      </x:c>
      <x:c r="F163" s="21" t="str">
        <x:v>OPEN</x:v>
      </x:c>
      <x:c r="G163" s="21" t="str"/>
      <x:c r="H163" s="21" t="str"/>
    </x:row>
    <x:row r="164">
      <x:c r="A164" s="21" t="str">
        <x:v>QE03-P01-D160</x:v>
      </x:c>
      <x:c r="B164" s="21" t="str">
        <x:v>QE03-P01</x:v>
      </x:c>
      <x:c r="C164" s="21" t="n">
        <x:v>160</x:v>
      </x:c>
      <x:c r="D164" s="21" t="str">
        <x:v>event holds</x:v>
      </x:c>
      <x:c r="E164" s="21" t="n">
        <x:v>18</x:v>
      </x:c>
      <x:c r="F164" s="21" t="str">
        <x:v>OPEN</x:v>
      </x:c>
      <x:c r="G164" s="21" t="str"/>
      <x:c r="H164" s="21" t="str"/>
    </x:row>
    <x:row r="165">
      <x:c r="A165" s="21" t="str">
        <x:v>QE03-P01-D161</x:v>
      </x:c>
      <x:c r="B165" s="21" t="str">
        <x:v>QE03-P01</x:v>
      </x:c>
      <x:c r="C165" s="21" t="n">
        <x:v>161</x:v>
      </x:c>
      <x:c r="D165" s="21" t="str">
        <x:v>event holds</x:v>
      </x:c>
      <x:c r="E165" s="21" t="n">
        <x:v>19</x:v>
      </x:c>
      <x:c r="F165" s="21" t="str">
        <x:v>OPEN</x:v>
      </x:c>
      <x:c r="G165" s="21" t="str"/>
      <x:c r="H165" s="21" t="str"/>
    </x:row>
    <x:row r="166">
      <x:c r="A166" s="21" t="str">
        <x:v>QE03-P01-D162</x:v>
      </x:c>
      <x:c r="B166" s="21" t="str">
        <x:v>QE03-P01</x:v>
      </x:c>
      <x:c r="C166" s="21" t="n">
        <x:v>162</x:v>
      </x:c>
      <x:c r="D166" s="21" t="str">
        <x:v>event holds</x:v>
      </x:c>
      <x:c r="E166" s="21" t="n">
        <x:v>20</x:v>
      </x:c>
      <x:c r="F166" s="21" t="str">
        <x:v>OPEN</x:v>
      </x:c>
      <x:c r="G166" s="21" t="str"/>
      <x:c r="H166" s="21" t="str"/>
    </x:row>
    <x:row r="167">
      <x:c r="A167" s="21" t="str">
        <x:v>QE03-P01-D163</x:v>
      </x:c>
      <x:c r="B167" s="21" t="str">
        <x:v>QE03-P01</x:v>
      </x:c>
      <x:c r="C167" s="21" t="n">
        <x:v>163</x:v>
      </x:c>
      <x:c r="D167" s="21" t="str">
        <x:v>event holds</x:v>
      </x:c>
      <x:c r="E167" s="21" t="n">
        <x:v>21</x:v>
      </x:c>
      <x:c r="F167" s="21" t="str">
        <x:v>OPEN</x:v>
      </x:c>
      <x:c r="G167" s="21" t="str"/>
      <x:c r="H167" s="21" t="str"/>
    </x:row>
    <x:row r="168">
      <x:c r="A168" s="21" t="str">
        <x:v>QE03-P01-D164</x:v>
      </x:c>
      <x:c r="B168" s="21" t="str">
        <x:v>QE03-P01</x:v>
      </x:c>
      <x:c r="C168" s="21" t="n">
        <x:v>164</x:v>
      </x:c>
      <x:c r="D168" s="21" t="str">
        <x:v>event holds</x:v>
      </x:c>
      <x:c r="E168" s="21" t="n">
        <x:v>22</x:v>
      </x:c>
      <x:c r="F168" s="21" t="str">
        <x:v>OPEN</x:v>
      </x:c>
      <x:c r="G168" s="21" t="str"/>
      <x:c r="H168" s="21" t="str"/>
    </x:row>
    <x:row r="169">
      <x:c r="A169" s="21" t="str">
        <x:v>QE03-P01-D165</x:v>
      </x:c>
      <x:c r="B169" s="21" t="str">
        <x:v>QE03-P01</x:v>
      </x:c>
      <x:c r="C169" s="21" t="n">
        <x:v>165</x:v>
      </x:c>
      <x:c r="D169" s="21" t="str">
        <x:v>event holds</x:v>
      </x:c>
      <x:c r="E169" s="21" t="n">
        <x:v>23</x:v>
      </x:c>
      <x:c r="F169" s="21" t="str">
        <x:v>OPEN</x:v>
      </x:c>
      <x:c r="G169" s="21" t="str"/>
      <x:c r="H169" s="21" t="str"/>
    </x:row>
    <x:row r="170">
      <x:c r="A170" s="21" t="str">
        <x:v>QE03-P01-D166</x:v>
      </x:c>
      <x:c r="B170" s="21" t="str">
        <x:v>QE03-P01</x:v>
      </x:c>
      <x:c r="C170" s="21" t="n">
        <x:v>166</x:v>
      </x:c>
      <x:c r="D170" s="21" t="str">
        <x:v>event holds</x:v>
      </x:c>
      <x:c r="E170" s="21" t="n">
        <x:v>24</x:v>
      </x:c>
      <x:c r="F170" s="21" t="str">
        <x:v>OPEN</x:v>
      </x:c>
      <x:c r="G170" s="21" t="str"/>
      <x:c r="H170" s="21" t="str"/>
    </x:row>
    <x:row r="171">
      <x:c r="A171" s="21" t="str">
        <x:v>QE03-P01-D167</x:v>
      </x:c>
      <x:c r="B171" s="21" t="str">
        <x:v>QE03-P01</x:v>
      </x:c>
      <x:c r="C171" s="21" t="n">
        <x:v>167</x:v>
      </x:c>
      <x:c r="D171" s="21" t="str">
        <x:v>event holds</x:v>
      </x:c>
      <x:c r="E171" s="21" t="n">
        <x:v>25</x:v>
      </x:c>
      <x:c r="F171" s="21" t="str">
        <x:v>OPEN</x:v>
      </x:c>
      <x:c r="G171" s="21" t="str"/>
      <x:c r="H171" s="21" t="str"/>
    </x:row>
    <x:row r="172">
      <x:c r="A172" s="21" t="str">
        <x:v>QE03-P01-D168</x:v>
      </x:c>
      <x:c r="B172" s="21" t="str">
        <x:v>QE03-P01</x:v>
      </x:c>
      <x:c r="C172" s="21" t="n">
        <x:v>168</x:v>
      </x:c>
      <x:c r="D172" s="21" t="str">
        <x:v>event holds</x:v>
      </x:c>
      <x:c r="E172" s="21" t="n">
        <x:v>26</x:v>
      </x:c>
      <x:c r="F172" s="21" t="str">
        <x:v>OPEN</x:v>
      </x:c>
      <x:c r="G172" s="21" t="str"/>
      <x:c r="H172" s="21" t="str"/>
    </x:row>
    <x:row r="173">
      <x:c r="A173" s="21" t="str">
        <x:v>QE03-P01-D169</x:v>
      </x:c>
      <x:c r="B173" s="21" t="str">
        <x:v>QE03-P01</x:v>
      </x:c>
      <x:c r="C173" s="21" t="n">
        <x:v>169</x:v>
      </x:c>
      <x:c r="D173" s="21" t="str">
        <x:v>event holds</x:v>
      </x:c>
      <x:c r="E173" s="21" t="n">
        <x:v>27</x:v>
      </x:c>
      <x:c r="F173" s="21" t="str">
        <x:v>OPEN</x:v>
      </x:c>
      <x:c r="G173" s="21" t="str"/>
      <x:c r="H173" s="21" t="str"/>
    </x:row>
    <x:row r="174">
      <x:c r="A174" s="21" t="str">
        <x:v>QE03-P01-D170</x:v>
      </x:c>
      <x:c r="B174" s="21" t="str">
        <x:v>QE03-P01</x:v>
      </x:c>
      <x:c r="C174" s="21" t="n">
        <x:v>170</x:v>
      </x:c>
      <x:c r="D174" s="21" t="str">
        <x:v>event holds</x:v>
      </x:c>
      <x:c r="E174" s="21" t="n">
        <x:v>28</x:v>
      </x:c>
      <x:c r="F174" s="21" t="str">
        <x:v>OPEN</x:v>
      </x:c>
      <x:c r="G174" s="21" t="str"/>
      <x:c r="H174" s="21" t="str"/>
    </x:row>
    <x:row r="175">
      <x:c r="A175" s="21" t="str">
        <x:v>QE03-P01-D171</x:v>
      </x:c>
      <x:c r="B175" s="21" t="str">
        <x:v>QE03-P01</x:v>
      </x:c>
      <x:c r="C175" s="21" t="n">
        <x:v>171</x:v>
      </x:c>
      <x:c r="D175" s="21" t="str">
        <x:v>event holds</x:v>
      </x:c>
      <x:c r="E175" s="21" t="n">
        <x:v>29</x:v>
      </x:c>
      <x:c r="F175" s="21" t="str">
        <x:v>OPEN</x:v>
      </x:c>
      <x:c r="G175" s="21" t="str"/>
      <x:c r="H175" s="21" t="str"/>
    </x:row>
    <x:row r="176">
      <x:c r="A176" s="21" t="str">
        <x:v>QE03-P01-D172</x:v>
      </x:c>
      <x:c r="B176" s="21" t="str">
        <x:v>QE03-P01</x:v>
      </x:c>
      <x:c r="C176" s="21" t="n">
        <x:v>172</x:v>
      </x:c>
      <x:c r="D176" s="21" t="str">
        <x:v>event holds</x:v>
      </x:c>
      <x:c r="E176" s="21" t="n">
        <x:v>30</x:v>
      </x:c>
      <x:c r="F176" s="21" t="str">
        <x:v>OPEN</x:v>
      </x:c>
      <x:c r="G176" s="21" t="str"/>
      <x:c r="H176" s="21" t="str"/>
    </x:row>
    <x:row r="177">
      <x:c r="A177" s="21" t="str">
        <x:v>QE03-P01-D173</x:v>
      </x:c>
      <x:c r="B177" s="21" t="str">
        <x:v>QE03-P01</x:v>
      </x:c>
      <x:c r="C177" s="21" t="n">
        <x:v>173</x:v>
      </x:c>
      <x:c r="D177" s="21" t="str">
        <x:v>event holds</x:v>
      </x:c>
      <x:c r="E177" s="21" t="n">
        <x:v>31</x:v>
      </x:c>
      <x:c r="F177" s="21" t="str">
        <x:v>OPEN</x:v>
      </x:c>
      <x:c r="G177" s="21" t="str"/>
      <x:c r="H177" s="21" t="str"/>
    </x:row>
    <x:row r="178">
      <x:c r="A178" s="21" t="str">
        <x:v>QE03-P01-D174</x:v>
      </x:c>
      <x:c r="B178" s="21" t="str">
        <x:v>QE03-P01</x:v>
      </x:c>
      <x:c r="C178" s="21" t="n">
        <x:v>174</x:v>
      </x:c>
      <x:c r="D178" s="21" t="str">
        <x:v>event holds</x:v>
      </x:c>
      <x:c r="E178" s="21" t="n">
        <x:v>32</x:v>
      </x:c>
      <x:c r="F178" s="21" t="str">
        <x:v>OPEN</x:v>
      </x:c>
      <x:c r="G178" s="21" t="str"/>
      <x:c r="H178" s="21" t="str"/>
    </x:row>
    <x:row r="179">
      <x:c r="A179" s="21" t="str">
        <x:v>QE03-P01-D175</x:v>
      </x:c>
      <x:c r="B179" s="21" t="str">
        <x:v>QE03-P01</x:v>
      </x:c>
      <x:c r="C179" s="21" t="n">
        <x:v>175</x:v>
      </x:c>
      <x:c r="D179" s="21" t="str">
        <x:v>evidence objects</x:v>
      </x:c>
      <x:c r="E179" s="21" t="n">
        <x:v>1</x:v>
      </x:c>
      <x:c r="F179" s="21" t="str">
        <x:v>OPEN</x:v>
      </x:c>
      <x:c r="G179" s="21" t="str"/>
      <x:c r="H179" s="21" t="str"/>
    </x:row>
    <x:row r="180">
      <x:c r="A180" s="21" t="str">
        <x:v>QE03-P01-D176</x:v>
      </x:c>
      <x:c r="B180" s="21" t="str">
        <x:v>QE03-P01</x:v>
      </x:c>
      <x:c r="C180" s="21" t="n">
        <x:v>176</x:v>
      </x:c>
      <x:c r="D180" s="21" t="str">
        <x:v>evidence objects</x:v>
      </x:c>
      <x:c r="E180" s="21" t="n">
        <x:v>2</x:v>
      </x:c>
      <x:c r="F180" s="21" t="str">
        <x:v>OPEN</x:v>
      </x:c>
      <x:c r="G180" s="21" t="str"/>
      <x:c r="H180" s="21" t="str"/>
    </x:row>
    <x:row r="181">
      <x:c r="A181" s="21" t="str">
        <x:v>QE03-P01-D177</x:v>
      </x:c>
      <x:c r="B181" s="21" t="str">
        <x:v>QE03-P01</x:v>
      </x:c>
      <x:c r="C181" s="21" t="n">
        <x:v>177</x:v>
      </x:c>
      <x:c r="D181" s="21" t="str">
        <x:v>evidence objects</x:v>
      </x:c>
      <x:c r="E181" s="21" t="n">
        <x:v>3</x:v>
      </x:c>
      <x:c r="F181" s="21" t="str">
        <x:v>OPEN</x:v>
      </x:c>
      <x:c r="G181" s="21" t="str"/>
      <x:c r="H181" s="21" t="str"/>
    </x:row>
    <x:row r="182">
      <x:c r="A182" s="21" t="str">
        <x:v>QE03-P01-D178</x:v>
      </x:c>
      <x:c r="B182" s="21" t="str">
        <x:v>QE03-P01</x:v>
      </x:c>
      <x:c r="C182" s="21" t="n">
        <x:v>178</x:v>
      </x:c>
      <x:c r="D182" s="21" t="str">
        <x:v>evidence objects</x:v>
      </x:c>
      <x:c r="E182" s="21" t="n">
        <x:v>4</x:v>
      </x:c>
      <x:c r="F182" s="21" t="str">
        <x:v>OPEN</x:v>
      </x:c>
      <x:c r="G182" s="21" t="str"/>
      <x:c r="H182" s="21" t="str"/>
    </x:row>
    <x:row r="183">
      <x:c r="A183" s="21" t="str">
        <x:v>QE03-P01-D179</x:v>
      </x:c>
      <x:c r="B183" s="21" t="str">
        <x:v>QE03-P01</x:v>
      </x:c>
      <x:c r="C183" s="21" t="n">
        <x:v>179</x:v>
      </x:c>
      <x:c r="D183" s="21" t="str">
        <x:v>evidence objects</x:v>
      </x:c>
      <x:c r="E183" s="21" t="n">
        <x:v>5</x:v>
      </x:c>
      <x:c r="F183" s="21" t="str">
        <x:v>OPEN</x:v>
      </x:c>
      <x:c r="G183" s="21" t="str"/>
      <x:c r="H183" s="21" t="str"/>
    </x:row>
    <x:row r="184">
      <x:c r="A184" s="21" t="str">
        <x:v>QE03-P01-D180</x:v>
      </x:c>
      <x:c r="B184" s="21" t="str">
        <x:v>QE03-P01</x:v>
      </x:c>
      <x:c r="C184" s="21" t="n">
        <x:v>180</x:v>
      </x:c>
      <x:c r="D184" s="21" t="str">
        <x:v>evidence objects</x:v>
      </x:c>
      <x:c r="E184" s="21" t="n">
        <x:v>6</x:v>
      </x:c>
      <x:c r="F184" s="21" t="str">
        <x:v>OPEN</x:v>
      </x:c>
      <x:c r="G184" s="21" t="str"/>
      <x:c r="H184" s="21" t="str"/>
    </x:row>
    <x:row r="185">
      <x:c r="A185" s="21" t="str">
        <x:v>QE03-P01-D181</x:v>
      </x:c>
      <x:c r="B185" s="21" t="str">
        <x:v>QE03-P01</x:v>
      </x:c>
      <x:c r="C185" s="21" t="n">
        <x:v>181</x:v>
      </x:c>
      <x:c r="D185" s="21" t="str">
        <x:v>evidence objects</x:v>
      </x:c>
      <x:c r="E185" s="21" t="n">
        <x:v>7</x:v>
      </x:c>
      <x:c r="F185" s="21" t="str">
        <x:v>OPEN</x:v>
      </x:c>
      <x:c r="G185" s="21" t="str"/>
      <x:c r="H185" s="21" t="str"/>
    </x:row>
    <x:row r="186">
      <x:c r="A186" s="21" t="str">
        <x:v>QE03-P01-D182</x:v>
      </x:c>
      <x:c r="B186" s="21" t="str">
        <x:v>QE03-P01</x:v>
      </x:c>
      <x:c r="C186" s="21" t="n">
        <x:v>182</x:v>
      </x:c>
      <x:c r="D186" s="21" t="str">
        <x:v>evidence objects</x:v>
      </x:c>
      <x:c r="E186" s="21" t="n">
        <x:v>8</x:v>
      </x:c>
      <x:c r="F186" s="21" t="str">
        <x:v>OPEN</x:v>
      </x:c>
      <x:c r="G186" s="21" t="str"/>
      <x:c r="H186" s="21" t="str"/>
    </x:row>
    <x:row r="187">
      <x:c r="A187" s="21" t="str">
        <x:v>QE03-P01-D183</x:v>
      </x:c>
      <x:c r="B187" s="21" t="str">
        <x:v>QE03-P01</x:v>
      </x:c>
      <x:c r="C187" s="21" t="n">
        <x:v>183</x:v>
      </x:c>
      <x:c r="D187" s="21" t="str">
        <x:v>evidence objects</x:v>
      </x:c>
      <x:c r="E187" s="21" t="n">
        <x:v>9</x:v>
      </x:c>
      <x:c r="F187" s="21" t="str">
        <x:v>OPEN</x:v>
      </x:c>
      <x:c r="G187" s="21" t="str"/>
      <x:c r="H187" s="21" t="str"/>
    </x:row>
    <x:row r="188">
      <x:c r="A188" s="21" t="str">
        <x:v>QE03-P01-D184</x:v>
      </x:c>
      <x:c r="B188" s="21" t="str">
        <x:v>QE03-P01</x:v>
      </x:c>
      <x:c r="C188" s="21" t="n">
        <x:v>184</x:v>
      </x:c>
      <x:c r="D188" s="21" t="str">
        <x:v>evidence objects</x:v>
      </x:c>
      <x:c r="E188" s="21" t="n">
        <x:v>10</x:v>
      </x:c>
      <x:c r="F188" s="21" t="str">
        <x:v>OPEN</x:v>
      </x:c>
      <x:c r="G188" s="21" t="str"/>
      <x:c r="H188" s="21" t="str"/>
    </x:row>
    <x:row r="189">
      <x:c r="A189" s="21" t="str">
        <x:v>QE03-P01-D185</x:v>
      </x:c>
      <x:c r="B189" s="21" t="str">
        <x:v>QE03-P01</x:v>
      </x:c>
      <x:c r="C189" s="21" t="n">
        <x:v>185</x:v>
      </x:c>
      <x:c r="D189" s="21" t="str">
        <x:v>evidence objects</x:v>
      </x:c>
      <x:c r="E189" s="21" t="n">
        <x:v>11</x:v>
      </x:c>
      <x:c r="F189" s="21" t="str">
        <x:v>OPEN</x:v>
      </x:c>
      <x:c r="G189" s="21" t="str"/>
      <x:c r="H189" s="21" t="str"/>
    </x:row>
    <x:row r="190">
      <x:c r="A190" s="21" t="str">
        <x:v>QE03-P01-D186</x:v>
      </x:c>
      <x:c r="B190" s="21" t="str">
        <x:v>QE03-P01</x:v>
      </x:c>
      <x:c r="C190" s="21" t="n">
        <x:v>186</x:v>
      </x:c>
      <x:c r="D190" s="21" t="str">
        <x:v>evidence objects</x:v>
      </x:c>
      <x:c r="E190" s="21" t="n">
        <x:v>12</x:v>
      </x:c>
      <x:c r="F190" s="21" t="str">
        <x:v>OPEN</x:v>
      </x:c>
      <x:c r="G190" s="21" t="str"/>
      <x:c r="H190" s="21" t="str"/>
    </x:row>
    <x:row r="191">
      <x:c r="A191" s="21" t="str">
        <x:v>QE03-P01-D187</x:v>
      </x:c>
      <x:c r="B191" s="21" t="str">
        <x:v>QE03-P01</x:v>
      </x:c>
      <x:c r="C191" s="21" t="n">
        <x:v>187</x:v>
      </x:c>
      <x:c r="D191" s="21" t="str">
        <x:v>source package</x:v>
      </x:c>
      <x:c r="E191" s="21" t="n">
        <x:v>1</x:v>
      </x:c>
      <x:c r="F191" s="21" t="str">
        <x:v>OPEN</x:v>
      </x:c>
      <x:c r="G191" s="21" t="str"/>
      <x:c r="H191" s="21" t="str"/>
    </x:row>
    <x:row r="192">
      <x:c r="A192" s="21" t="str">
        <x:v>QE03-P01-D188</x:v>
      </x:c>
      <x:c r="B192" s="21" t="str">
        <x:v>QE03-P01</x:v>
      </x:c>
      <x:c r="C192" s="21" t="n">
        <x:v>188</x:v>
      </x:c>
      <x:c r="D192" s="21" t="str">
        <x:v>source characteristics</x:v>
      </x:c>
      <x:c r="E192" s="21" t="n">
        <x:v>1</x:v>
      </x:c>
      <x:c r="F192" s="21" t="str">
        <x:v>OPEN</x:v>
      </x:c>
      <x:c r="G192" s="21" t="str"/>
      <x:c r="H192" s="21" t="str"/>
    </x:row>
    <x:row r="193">
      <x:c r="A193" s="21" t="str">
        <x:v>QE03-P01-D189</x:v>
      </x:c>
      <x:c r="B193" s="21" t="str">
        <x:v>QE03-P01</x:v>
      </x:c>
      <x:c r="C193" s="21" t="n">
        <x:v>189</x:v>
      </x:c>
      <x:c r="D193" s="21" t="str">
        <x:v>source characteristics</x:v>
      </x:c>
      <x:c r="E193" s="21" t="n">
        <x:v>2</x:v>
      </x:c>
      <x:c r="F193" s="21" t="str">
        <x:v>OPEN</x:v>
      </x:c>
      <x:c r="G193" s="21" t="str"/>
      <x:c r="H193" s="21" t="str"/>
    </x:row>
    <x:row r="194">
      <x:c r="A194" s="21" t="str">
        <x:v>QE03-P01-D190</x:v>
      </x:c>
      <x:c r="B194" s="21" t="str">
        <x:v>QE03-P01</x:v>
      </x:c>
      <x:c r="C194" s="21" t="n">
        <x:v>190</x:v>
      </x:c>
      <x:c r="D194" s="21" t="str">
        <x:v>source characteristics</x:v>
      </x:c>
      <x:c r="E194" s="21" t="n">
        <x:v>3</x:v>
      </x:c>
      <x:c r="F194" s="21" t="str">
        <x:v>OPEN</x:v>
      </x:c>
      <x:c r="G194" s="21" t="str"/>
      <x:c r="H194" s="21" t="str"/>
    </x:row>
    <x:row r="195">
      <x:c r="A195" s="21" t="str">
        <x:v>QE03-P01-D191</x:v>
      </x:c>
      <x:c r="B195" s="21" t="str">
        <x:v>QE03-P01</x:v>
      </x:c>
      <x:c r="C195" s="21" t="n">
        <x:v>191</x:v>
      </x:c>
      <x:c r="D195" s="21" t="str">
        <x:v>source characteristics</x:v>
      </x:c>
      <x:c r="E195" s="21" t="n">
        <x:v>4</x:v>
      </x:c>
      <x:c r="F195" s="21" t="str">
        <x:v>OPEN</x:v>
      </x:c>
      <x:c r="G195" s="21" t="str"/>
      <x:c r="H195" s="21" t="str"/>
    </x:row>
    <x:row r="196">
      <x:c r="A196" s="21" t="str">
        <x:v>QE03-P01-D192</x:v>
      </x:c>
      <x:c r="B196" s="21" t="str">
        <x:v>QE03-P01</x:v>
      </x:c>
      <x:c r="C196" s="21" t="n">
        <x:v>192</x:v>
      </x:c>
      <x:c r="D196" s="21" t="str">
        <x:v>source characteristics</x:v>
      </x:c>
      <x:c r="E196" s="21" t="n">
        <x:v>5</x:v>
      </x:c>
      <x:c r="F196" s="21" t="str">
        <x:v>OPEN</x:v>
      </x:c>
      <x:c r="G196" s="21" t="str"/>
      <x:c r="H196" s="21" t="str"/>
    </x:row>
    <x:row r="197">
      <x:c r="A197" s="21" t="str">
        <x:v>QE03-P01-D193</x:v>
      </x:c>
      <x:c r="B197" s="21" t="str">
        <x:v>QE03-P01</x:v>
      </x:c>
      <x:c r="C197" s="21" t="n">
        <x:v>193</x:v>
      </x:c>
      <x:c r="D197" s="21" t="str">
        <x:v>source characteristics</x:v>
      </x:c>
      <x:c r="E197" s="21" t="n">
        <x:v>6</x:v>
      </x:c>
      <x:c r="F197" s="21" t="str">
        <x:v>OPEN</x:v>
      </x:c>
      <x:c r="G197" s="21" t="str"/>
      <x:c r="H197" s="21" t="str"/>
    </x:row>
    <x:row r="198">
      <x:c r="A198" s="21" t="str">
        <x:v>QE03-P01-D194</x:v>
      </x:c>
      <x:c r="B198" s="21" t="str">
        <x:v>QE03-P01</x:v>
      </x:c>
      <x:c r="C198" s="21" t="n">
        <x:v>194</x:v>
      </x:c>
      <x:c r="D198" s="21" t="str">
        <x:v>source characteristics</x:v>
      </x:c>
      <x:c r="E198" s="21" t="n">
        <x:v>7</x:v>
      </x:c>
      <x:c r="F198" s="21" t="str">
        <x:v>OPEN</x:v>
      </x:c>
      <x:c r="G198" s="21" t="str"/>
      <x:c r="H198" s="21" t="str"/>
    </x:row>
    <x:row r="199">
      <x:c r="A199" s="21" t="str">
        <x:v>QE03-P01-D195</x:v>
      </x:c>
      <x:c r="B199" s="21" t="str">
        <x:v>QE03-P01</x:v>
      </x:c>
      <x:c r="C199" s="21" t="n">
        <x:v>195</x:v>
      </x:c>
      <x:c r="D199" s="21" t="str">
        <x:v>source characteristics</x:v>
      </x:c>
      <x:c r="E199" s="21" t="n">
        <x:v>8</x:v>
      </x:c>
      <x:c r="F199" s="21" t="str">
        <x:v>OPEN</x:v>
      </x:c>
      <x:c r="G199" s="21" t="str"/>
      <x:c r="H199" s="21" t="str"/>
    </x:row>
    <x:row r="200">
      <x:c r="A200" s="21" t="str">
        <x:v>QE03-P01-D196</x:v>
      </x:c>
      <x:c r="B200" s="21" t="str">
        <x:v>QE03-P01</x:v>
      </x:c>
      <x:c r="C200" s="21" t="n">
        <x:v>196</x:v>
      </x:c>
      <x:c r="D200" s="21" t="str">
        <x:v>source characteristics</x:v>
      </x:c>
      <x:c r="E200" s="21" t="n">
        <x:v>9</x:v>
      </x:c>
      <x:c r="F200" s="21" t="str">
        <x:v>OPEN</x:v>
      </x:c>
      <x:c r="G200" s="21" t="str"/>
      <x:c r="H200" s="21" t="str"/>
    </x:row>
    <x:row r="201">
      <x:c r="A201" s="21" t="str">
        <x:v>QE03-P01-D197</x:v>
      </x:c>
      <x:c r="B201" s="21" t="str">
        <x:v>QE03-P01</x:v>
      </x:c>
      <x:c r="C201" s="21" t="n">
        <x:v>197</x:v>
      </x:c>
      <x:c r="D201" s="21" t="str">
        <x:v>source characteristics</x:v>
      </x:c>
      <x:c r="E201" s="21" t="n">
        <x:v>10</x:v>
      </x:c>
      <x:c r="F201" s="21" t="str">
        <x:v>OPEN</x:v>
      </x:c>
      <x:c r="G201" s="21" t="str"/>
      <x:c r="H201" s="21" t="str"/>
    </x:row>
    <x:row r="202">
      <x:c r="A202" s="21" t="str">
        <x:v>QE03-P01-D198</x:v>
      </x:c>
      <x:c r="B202" s="21" t="str">
        <x:v>QE03-P01</x:v>
      </x:c>
      <x:c r="C202" s="21" t="n">
        <x:v>198</x:v>
      </x:c>
      <x:c r="D202" s="21" t="str">
        <x:v>samples</x:v>
      </x:c>
      <x:c r="E202" s="21" t="n">
        <x:v>1</x:v>
      </x:c>
      <x:c r="F202" s="21" t="str">
        <x:v>OPEN</x:v>
      </x:c>
      <x:c r="G202" s="21" t="str"/>
      <x:c r="H202" s="21" t="str"/>
    </x:row>
    <x:row r="203">
      <x:c r="A203" s="21" t="str">
        <x:v>QE03-P01-D199</x:v>
      </x:c>
      <x:c r="B203" s="21" t="str">
        <x:v>QE03-P01</x:v>
      </x:c>
      <x:c r="C203" s="21" t="n">
        <x:v>199</x:v>
      </x:c>
      <x:c r="D203" s="21" t="str">
        <x:v>samples</x:v>
      </x:c>
      <x:c r="E203" s="21" t="n">
        <x:v>2</x:v>
      </x:c>
      <x:c r="F203" s="21" t="str">
        <x:v>OPEN</x:v>
      </x:c>
      <x:c r="G203" s="21" t="str"/>
      <x:c r="H203" s="21" t="str"/>
    </x:row>
    <x:row r="204">
      <x:c r="A204" s="21" t="str">
        <x:v>QE03-P01-D200</x:v>
      </x:c>
      <x:c r="B204" s="21" t="str">
        <x:v>QE03-P01</x:v>
      </x:c>
      <x:c r="C204" s="21" t="n">
        <x:v>200</x:v>
      </x:c>
      <x:c r="D204" s="21" t="str">
        <x:v>samples</x:v>
      </x:c>
      <x:c r="E204" s="21" t="n">
        <x:v>3</x:v>
      </x:c>
      <x:c r="F204" s="21" t="str">
        <x:v>OPEN</x:v>
      </x:c>
      <x:c r="G204" s="21" t="str"/>
      <x:c r="H204" s="21" t="str"/>
    </x:row>
    <x:row r="205">
      <x:c r="A205" s="21" t="str">
        <x:v>QE03-P01-D201</x:v>
      </x:c>
      <x:c r="B205" s="21" t="str">
        <x:v>QE03-P01</x:v>
      </x:c>
      <x:c r="C205" s="21" t="n">
        <x:v>201</x:v>
      </x:c>
      <x:c r="D205" s="21" t="str">
        <x:v>samples</x:v>
      </x:c>
      <x:c r="E205" s="21" t="n">
        <x:v>4</x:v>
      </x:c>
      <x:c r="F205" s="21" t="str">
        <x:v>OPEN</x:v>
      </x:c>
      <x:c r="G205" s="21" t="str"/>
      <x:c r="H205" s="21" t="str"/>
    </x:row>
    <x:row r="206">
      <x:c r="A206" s="21" t="str">
        <x:v>QE03-P01-D202</x:v>
      </x:c>
      <x:c r="B206" s="21" t="str">
        <x:v>QE03-P01</x:v>
      </x:c>
      <x:c r="C206" s="21" t="n">
        <x:v>202</x:v>
      </x:c>
      <x:c r="D206" s="21" t="str">
        <x:v>samples</x:v>
      </x:c>
      <x:c r="E206" s="21" t="n">
        <x:v>5</x:v>
      </x:c>
      <x:c r="F206" s="21" t="str">
        <x:v>OPEN</x:v>
      </x:c>
      <x:c r="G206" s="21" t="str"/>
      <x:c r="H206" s="21" t="str"/>
    </x:row>
    <x:row r="207">
      <x:c r="A207" s="21" t="str">
        <x:v>QE03-P01-D203</x:v>
      </x:c>
      <x:c r="B207" s="21" t="str">
        <x:v>QE03-P01</x:v>
      </x:c>
      <x:c r="C207" s="21" t="n">
        <x:v>203</x:v>
      </x:c>
      <x:c r="D207" s="21" t="str">
        <x:v>samples</x:v>
      </x:c>
      <x:c r="E207" s="21" t="n">
        <x:v>6</x:v>
      </x:c>
      <x:c r="F207" s="21" t="str">
        <x:v>OPEN</x:v>
      </x:c>
      <x:c r="G207" s="21" t="str"/>
      <x:c r="H207" s="21" t="str"/>
    </x:row>
    <x:row r="208">
      <x:c r="A208" s="21" t="str">
        <x:v>QE03-P01-D204</x:v>
      </x:c>
      <x:c r="B208" s="21" t="str">
        <x:v>QE03-P01</x:v>
      </x:c>
      <x:c r="C208" s="21" t="n">
        <x:v>204</x:v>
      </x:c>
      <x:c r="D208" s="21" t="str">
        <x:v>samples</x:v>
      </x:c>
      <x:c r="E208" s="21" t="n">
        <x:v>7</x:v>
      </x:c>
      <x:c r="F208" s="21" t="str">
        <x:v>OPEN</x:v>
      </x:c>
      <x:c r="G208" s="21" t="str"/>
      <x:c r="H208" s="21" t="str"/>
    </x:row>
    <x:row r="209">
      <x:c r="A209" s="21" t="str">
        <x:v>QE03-P01-D205</x:v>
      </x:c>
      <x:c r="B209" s="21" t="str">
        <x:v>QE03-P01</x:v>
      </x:c>
      <x:c r="C209" s="21" t="n">
        <x:v>205</x:v>
      </x:c>
      <x:c r="D209" s="21" t="str">
        <x:v>samples</x:v>
      </x:c>
      <x:c r="E209" s="21" t="n">
        <x:v>8</x:v>
      </x:c>
      <x:c r="F209" s="21" t="str">
        <x:v>OPEN</x:v>
      </x:c>
      <x:c r="G209" s="21" t="str"/>
      <x:c r="H209" s="21" t="str"/>
    </x:row>
    <x:row r="210">
      <x:c r="A210" s="21" t="str">
        <x:v>QE03-P01-D206</x:v>
      </x:c>
      <x:c r="B210" s="21" t="str">
        <x:v>QE03-P01</x:v>
      </x:c>
      <x:c r="C210" s="21" t="n">
        <x:v>206</x:v>
      </x:c>
      <x:c r="D210" s="21" t="str">
        <x:v>QE-03 amendment baseline</x:v>
      </x:c>
      <x:c r="E210" s="21" t="n">
        <x:v>1</x:v>
      </x:c>
      <x:c r="F210" s="21" t="str">
        <x:v>OPEN</x:v>
      </x:c>
      <x:c r="G210" s="21" t="str"/>
      <x:c r="H210" s="21" t="str"/>
    </x:row>
    <x:row r="211">
      <x:c r="A211" s="21" t="str">
        <x:v>QE03-P01-D207</x:v>
      </x:c>
      <x:c r="B211" s="21" t="str">
        <x:v>QE03-P01</x:v>
      </x:c>
      <x:c r="C211" s="21" t="n">
        <x:v>207</x:v>
      </x:c>
      <x:c r="D211" s="21" t="str">
        <x:v>REA-250 conversion assembly</x:v>
      </x:c>
      <x:c r="E211" s="21" t="n">
        <x:v>1</x:v>
      </x:c>
      <x:c r="F211" s="21" t="str">
        <x:v>OPEN</x:v>
      </x:c>
      <x:c r="G211" s="21" t="str"/>
      <x:c r="H211" s="21" t="str"/>
    </x:row>
    <x:row r="212">
      <x:c r="A212" s="21" t="str">
        <x:v>QE03-P01-D208</x:v>
      </x:c>
      <x:c r="B212" s="21" t="str">
        <x:v>QE03-P01</x:v>
      </x:c>
      <x:c r="C212" s="21" t="n">
        <x:v>208</x:v>
      </x:c>
      <x:c r="D212" s="21" t="str">
        <x:v>capture-plane quadrants</x:v>
      </x:c>
      <x:c r="E212" s="21" t="n">
        <x:v>1</x:v>
      </x:c>
      <x:c r="F212" s="21" t="str">
        <x:v>OPEN</x:v>
      </x:c>
      <x:c r="G212" s="21" t="str"/>
      <x:c r="H212" s="21" t="str"/>
    </x:row>
    <x:row r="213">
      <x:c r="A213" s="21" t="str">
        <x:v>QE03-P01-D209</x:v>
      </x:c>
      <x:c r="B213" s="21" t="str">
        <x:v>QE03-P01</x:v>
      </x:c>
      <x:c r="C213" s="21" t="n">
        <x:v>209</x:v>
      </x:c>
      <x:c r="D213" s="21" t="str">
        <x:v>capture-plane quadrants</x:v>
      </x:c>
      <x:c r="E213" s="21" t="n">
        <x:v>2</x:v>
      </x:c>
      <x:c r="F213" s="21" t="str">
        <x:v>OPEN</x:v>
      </x:c>
      <x:c r="G213" s="21" t="str"/>
      <x:c r="H213" s="21" t="str"/>
    </x:row>
    <x:row r="214">
      <x:c r="A214" s="21" t="str">
        <x:v>QE03-P01-D210</x:v>
      </x:c>
      <x:c r="B214" s="21" t="str">
        <x:v>QE03-P01</x:v>
      </x:c>
      <x:c r="C214" s="21" t="n">
        <x:v>210</x:v>
      </x:c>
      <x:c r="D214" s="21" t="str">
        <x:v>capture-plane quadrants</x:v>
      </x:c>
      <x:c r="E214" s="21" t="n">
        <x:v>3</x:v>
      </x:c>
      <x:c r="F214" s="21" t="str">
        <x:v>OPEN</x:v>
      </x:c>
      <x:c r="G214" s="21" t="str"/>
      <x:c r="H214" s="21" t="str"/>
    </x:row>
    <x:row r="215">
      <x:c r="A215" s="21" t="str">
        <x:v>QE03-P01-D211</x:v>
      </x:c>
      <x:c r="B215" s="21" t="str">
        <x:v>QE03-P01</x:v>
      </x:c>
      <x:c r="C215" s="21" t="n">
        <x:v>211</x:v>
      </x:c>
      <x:c r="D215" s="21" t="str">
        <x:v>capture-plane quadrants</x:v>
      </x:c>
      <x:c r="E215" s="21" t="n">
        <x:v>4</x:v>
      </x:c>
      <x:c r="F215" s="21" t="str">
        <x:v>OPEN</x:v>
      </x:c>
      <x:c r="G215" s="21" t="str"/>
      <x:c r="H215" s="21" t="str"/>
    </x:row>
    <x:row r="216">
      <x:c r="A216" s="21" t="str">
        <x:v>QE03-P01-D212</x:v>
      </x:c>
      <x:c r="B216" s="21" t="str">
        <x:v>QE03-P01</x:v>
      </x:c>
      <x:c r="C216" s="21" t="n">
        <x:v>212</x:v>
      </x:c>
      <x:c r="D216" s="21" t="str">
        <x:v>area and grade survey</x:v>
      </x:c>
      <x:c r="E216" s="21" t="n">
        <x:v>1</x:v>
      </x:c>
      <x:c r="F216" s="21" t="str">
        <x:v>OPEN</x:v>
      </x:c>
      <x:c r="G216" s="21" t="str"/>
      <x:c r="H216" s="21" t="str"/>
    </x:row>
    <x:row r="217">
      <x:c r="A217" s="21" t="str">
        <x:v>QE03-P01-D213</x:v>
      </x:c>
      <x:c r="B217" s="21" t="str">
        <x:v>QE03-P01</x:v>
      </x:c>
      <x:c r="C217" s="21" t="n">
        <x:v>213</x:v>
      </x:c>
      <x:c r="D217" s="21" t="str">
        <x:v>receiver-capacity decision</x:v>
      </x:c>
      <x:c r="E217" s="21" t="n">
        <x:v>1</x:v>
      </x:c>
      <x:c r="F217" s="21" t="str">
        <x:v>OPEN</x:v>
      </x:c>
      <x:c r="G217" s="21" t="str"/>
      <x:c r="H217" s="21" t="str"/>
    </x:row>
    <x:row r="218">
      <x:c r="A218" s="21" t="str">
        <x:v>QE03-P01-D214</x:v>
      </x:c>
      <x:c r="B218" s="21" t="str">
        <x:v>QE03-P01</x:v>
      </x:c>
      <x:c r="C218" s="21" t="n">
        <x:v>214</x:v>
      </x:c>
      <x:c r="D218" s="21" t="str">
        <x:v>rate-extension packet</x:v>
      </x:c>
      <x:c r="E218" s="21" t="n">
        <x:v>1</x:v>
      </x:c>
      <x:c r="F218" s="21" t="str">
        <x:v>OPEN</x:v>
      </x:c>
      <x:c r="G218" s="21" t="str"/>
      <x:c r="H218" s="21" t="str"/>
    </x:row>
    <x:row r="219">
      <x:c r="A219" s="21" t="str">
        <x:v>QE03-P01-D215</x:v>
      </x:c>
      <x:c r="B219" s="21" t="str">
        <x:v>QE03-P01</x:v>
      </x:c>
      <x:c r="C219" s="21" t="n">
        <x:v>215</x:v>
      </x:c>
      <x:c r="D219" s="21" t="str">
        <x:v>surge-margin decision</x:v>
      </x:c>
      <x:c r="E219" s="21" t="n">
        <x:v>1</x:v>
      </x:c>
      <x:c r="F219" s="21" t="str">
        <x:v>OPEN</x:v>
      </x:c>
      <x:c r="G219" s="21" t="str"/>
      <x:c r="H219" s="21" t="str"/>
    </x:row>
    <x:row r="220">
      <x:c r="A220" s="21" t="str">
        <x:v>QE03-P01-D216</x:v>
      </x:c>
      <x:c r="B220" s="21" t="str">
        <x:v>QE03-P01</x:v>
      </x:c>
      <x:c r="C220" s="21" t="n">
        <x:v>216</x:v>
      </x:c>
      <x:c r="D220" s="21" t="str">
        <x:v>dynamic hold-up map</x:v>
      </x:c>
      <x:c r="E220" s="21" t="n">
        <x:v>1</x:v>
      </x:c>
      <x:c r="F220" s="21" t="str">
        <x:v>OPEN</x:v>
      </x:c>
      <x:c r="G220" s="21" t="str"/>
      <x:c r="H220" s="21" t="str"/>
    </x:row>
    <x:row r="221">
      <x:c r="A221" s="21" t="str">
        <x:v>QE03-P01-D217</x:v>
      </x:c>
      <x:c r="B221" s="21" t="str">
        <x:v>QE03-P01</x:v>
      </x:c>
      <x:c r="C221" s="21" t="n">
        <x:v>217</x:v>
      </x:c>
      <x:c r="D221" s="21" t="str">
        <x:v>recovery-capacity decision</x:v>
      </x:c>
      <x:c r="E221" s="21" t="n">
        <x:v>1</x:v>
      </x:c>
      <x:c r="F221" s="21" t="str">
        <x:v>OPEN</x:v>
      </x:c>
      <x:c r="G221" s="21" t="str"/>
      <x:c r="H221" s="21" t="str"/>
    </x:row>
    <x:row r="222">
      <x:c r="A222" s="21" t="str">
        <x:v>QE03-R01-D001</x:v>
      </x:c>
      <x:c r="B222" s="21" t="str">
        <x:v>QE03-R01</x:v>
      </x:c>
      <x:c r="C222" s="21" t="n">
        <x:v>1</x:v>
      </x:c>
      <x:c r="D222" s="21" t="str">
        <x:v>reference article</x:v>
      </x:c>
      <x:c r="E222" s="21" t="n">
        <x:v>1</x:v>
      </x:c>
      <x:c r="F222" s="21" t="str">
        <x:v>OPEN</x:v>
      </x:c>
      <x:c r="G222" s="21" t="str"/>
      <x:c r="H222" s="21" t="str"/>
    </x:row>
    <x:row r="223">
      <x:c r="A223" s="21" t="str">
        <x:v>QE03-R01-D002</x:v>
      </x:c>
      <x:c r="B223" s="21" t="str">
        <x:v>QE03-R01</x:v>
      </x:c>
      <x:c r="C223" s="21" t="n">
        <x:v>2</x:v>
      </x:c>
      <x:c r="D223" s="21" t="str">
        <x:v>controlled cell sections</x:v>
      </x:c>
      <x:c r="E223" s="21" t="n">
        <x:v>1</x:v>
      </x:c>
      <x:c r="F223" s="21" t="str">
        <x:v>OPEN</x:v>
      </x:c>
      <x:c r="G223" s="21" t="str"/>
      <x:c r="H223" s="21" t="str"/>
    </x:row>
    <x:row r="224">
      <x:c r="A224" s="21" t="str">
        <x:v>QE03-R01-D003</x:v>
      </x:c>
      <x:c r="B224" s="21" t="str">
        <x:v>QE03-R01</x:v>
      </x:c>
      <x:c r="C224" s="21" t="n">
        <x:v>3</x:v>
      </x:c>
      <x:c r="D224" s="21" t="str">
        <x:v>controlled cell sections</x:v>
      </x:c>
      <x:c r="E224" s="21" t="n">
        <x:v>2</x:v>
      </x:c>
      <x:c r="F224" s="21" t="str">
        <x:v>OPEN</x:v>
      </x:c>
      <x:c r="G224" s="21" t="str"/>
      <x:c r="H224" s="21" t="str"/>
    </x:row>
    <x:row r="225">
      <x:c r="A225" s="21" t="str">
        <x:v>QE03-R01-D004</x:v>
      </x:c>
      <x:c r="B225" s="21" t="str">
        <x:v>QE03-R01</x:v>
      </x:c>
      <x:c r="C225" s="21" t="n">
        <x:v>4</x:v>
      </x:c>
      <x:c r="D225" s="21" t="str">
        <x:v>controlled cell sections</x:v>
      </x:c>
      <x:c r="E225" s="21" t="n">
        <x:v>3</x:v>
      </x:c>
      <x:c r="F225" s="21" t="str">
        <x:v>OPEN</x:v>
      </x:c>
      <x:c r="G225" s="21" t="str"/>
      <x:c r="H225" s="21" t="str"/>
    </x:row>
    <x:row r="226">
      <x:c r="A226" s="21" t="str">
        <x:v>QE03-R01-D005</x:v>
      </x:c>
      <x:c r="B226" s="21" t="str">
        <x:v>QE03-R01</x:v>
      </x:c>
      <x:c r="C226" s="21" t="n">
        <x:v>5</x:v>
      </x:c>
      <x:c r="D226" s="21" t="str">
        <x:v>controlled cell sections</x:v>
      </x:c>
      <x:c r="E226" s="21" t="n">
        <x:v>4</x:v>
      </x:c>
      <x:c r="F226" s="21" t="str">
        <x:v>OPEN</x:v>
      </x:c>
      <x:c r="G226" s="21" t="str"/>
      <x:c r="H226" s="21" t="str"/>
    </x:row>
    <x:row r="227">
      <x:c r="A227" s="21" t="str">
        <x:v>QE03-R01-D006</x:v>
      </x:c>
      <x:c r="B227" s="21" t="str">
        <x:v>QE03-R01</x:v>
      </x:c>
      <x:c r="C227" s="21" t="n">
        <x:v>6</x:v>
      </x:c>
      <x:c r="D227" s="21" t="str">
        <x:v>controlled cell sections</x:v>
      </x:c>
      <x:c r="E227" s="21" t="n">
        <x:v>5</x:v>
      </x:c>
      <x:c r="F227" s="21" t="str">
        <x:v>OPEN</x:v>
      </x:c>
      <x:c r="G227" s="21" t="str"/>
      <x:c r="H227" s="21" t="str"/>
    </x:row>
    <x:row r="228">
      <x:c r="A228" s="21" t="str">
        <x:v>QE03-R01-D007</x:v>
      </x:c>
      <x:c r="B228" s="21" t="str">
        <x:v>QE03-R01</x:v>
      </x:c>
      <x:c r="C228" s="21" t="n">
        <x:v>7</x:v>
      </x:c>
      <x:c r="D228" s="21" t="str">
        <x:v>controlled cell sections</x:v>
      </x:c>
      <x:c r="E228" s="21" t="n">
        <x:v>6</x:v>
      </x:c>
      <x:c r="F228" s="21" t="str">
        <x:v>OPEN</x:v>
      </x:c>
      <x:c r="G228" s="21" t="str"/>
      <x:c r="H228" s="21" t="str"/>
    </x:row>
    <x:row r="229">
      <x:c r="A229" s="21" t="str">
        <x:v>QE03-R01-D008</x:v>
      </x:c>
      <x:c r="B229" s="21" t="str">
        <x:v>QE03-R01</x:v>
      </x:c>
      <x:c r="C229" s="21" t="n">
        <x:v>8</x:v>
      </x:c>
      <x:c r="D229" s="21" t="str">
        <x:v>controlled cell sections</x:v>
      </x:c>
      <x:c r="E229" s="21" t="n">
        <x:v>7</x:v>
      </x:c>
      <x:c r="F229" s="21" t="str">
        <x:v>OPEN</x:v>
      </x:c>
      <x:c r="G229" s="21" t="str"/>
      <x:c r="H229" s="21" t="str"/>
    </x:row>
    <x:row r="230">
      <x:c r="A230" s="21" t="str">
        <x:v>QE03-R01-D009</x:v>
      </x:c>
      <x:c r="B230" s="21" t="str">
        <x:v>QE03-R01</x:v>
      </x:c>
      <x:c r="C230" s="21" t="n">
        <x:v>9</x:v>
      </x:c>
      <x:c r="D230" s="21" t="str">
        <x:v>controlled cell sections</x:v>
      </x:c>
      <x:c r="E230" s="21" t="n">
        <x:v>8</x:v>
      </x:c>
      <x:c r="F230" s="21" t="str">
        <x:v>OPEN</x:v>
      </x:c>
      <x:c r="G230" s="21" t="str"/>
      <x:c r="H230" s="21" t="str"/>
    </x:row>
    <x:row r="231">
      <x:c r="A231" s="21" t="str">
        <x:v>QE03-R01-D010</x:v>
      </x:c>
      <x:c r="B231" s="21" t="str">
        <x:v>QE03-R01</x:v>
      </x:c>
      <x:c r="C231" s="21" t="n">
        <x:v>10</x:v>
      </x:c>
      <x:c r="D231" s="21" t="str">
        <x:v>controlled cell sections</x:v>
      </x:c>
      <x:c r="E231" s="21" t="n">
        <x:v>9</x:v>
      </x:c>
      <x:c r="F231" s="21" t="str">
        <x:v>OPEN</x:v>
      </x:c>
      <x:c r="G231" s="21" t="str"/>
      <x:c r="H231" s="21" t="str"/>
    </x:row>
    <x:row r="232">
      <x:c r="A232" s="21" t="str">
        <x:v>QE03-R01-D011</x:v>
      </x:c>
      <x:c r="B232" s="21" t="str">
        <x:v>QE03-R01</x:v>
      </x:c>
      <x:c r="C232" s="21" t="n">
        <x:v>11</x:v>
      </x:c>
      <x:c r="D232" s="21" t="str">
        <x:v>controlled cell sections</x:v>
      </x:c>
      <x:c r="E232" s="21" t="n">
        <x:v>10</x:v>
      </x:c>
      <x:c r="F232" s="21" t="str">
        <x:v>OPEN</x:v>
      </x:c>
      <x:c r="G232" s="21" t="str"/>
      <x:c r="H232" s="21" t="str"/>
    </x:row>
    <x:row r="233">
      <x:c r="A233" s="21" t="str">
        <x:v>QE03-R01-D012</x:v>
      </x:c>
      <x:c r="B233" s="21" t="str">
        <x:v>QE03-R01</x:v>
      </x:c>
      <x:c r="C233" s="21" t="n">
        <x:v>12</x:v>
      </x:c>
      <x:c r="D233" s="21" t="str">
        <x:v>controlled cell sections</x:v>
      </x:c>
      <x:c r="E233" s="21" t="n">
        <x:v>11</x:v>
      </x:c>
      <x:c r="F233" s="21" t="str">
        <x:v>OPEN</x:v>
      </x:c>
      <x:c r="G233" s="21" t="str"/>
      <x:c r="H233" s="21" t="str"/>
    </x:row>
    <x:row r="234">
      <x:c r="A234" s="21" t="str">
        <x:v>QE03-R01-D013</x:v>
      </x:c>
      <x:c r="B234" s="21" t="str">
        <x:v>QE03-R01</x:v>
      </x:c>
      <x:c r="C234" s="21" t="n">
        <x:v>13</x:v>
      </x:c>
      <x:c r="D234" s="21" t="str">
        <x:v>controlled cell sections</x:v>
      </x:c>
      <x:c r="E234" s="21" t="n">
        <x:v>12</x:v>
      </x:c>
      <x:c r="F234" s="21" t="str">
        <x:v>OPEN</x:v>
      </x:c>
      <x:c r="G234" s="21" t="str"/>
      <x:c r="H234" s="21" t="str"/>
    </x:row>
    <x:row r="235">
      <x:c r="A235" s="21" t="str">
        <x:v>QE03-R01-D014</x:v>
      </x:c>
      <x:c r="B235" s="21" t="str">
        <x:v>QE03-R01</x:v>
      </x:c>
      <x:c r="C235" s="21" t="n">
        <x:v>14</x:v>
      </x:c>
      <x:c r="D235" s="21" t="str">
        <x:v>controlled cell sections</x:v>
      </x:c>
      <x:c r="E235" s="21" t="n">
        <x:v>13</x:v>
      </x:c>
      <x:c r="F235" s="21" t="str">
        <x:v>OPEN</x:v>
      </x:c>
      <x:c r="G235" s="21" t="str"/>
      <x:c r="H235" s="21" t="str"/>
    </x:row>
    <x:row r="236">
      <x:c r="A236" s="21" t="str">
        <x:v>QE03-R01-D015</x:v>
      </x:c>
      <x:c r="B236" s="21" t="str">
        <x:v>QE03-R01</x:v>
      </x:c>
      <x:c r="C236" s="21" t="n">
        <x:v>15</x:v>
      </x:c>
      <x:c r="D236" s="21" t="str">
        <x:v>controlled cell sections</x:v>
      </x:c>
      <x:c r="E236" s="21" t="n">
        <x:v>14</x:v>
      </x:c>
      <x:c r="F236" s="21" t="str">
        <x:v>OPEN</x:v>
      </x:c>
      <x:c r="G236" s="21" t="str"/>
      <x:c r="H236" s="21" t="str"/>
    </x:row>
    <x:row r="237">
      <x:c r="A237" s="21" t="str">
        <x:v>QE03-R01-D016</x:v>
      </x:c>
      <x:c r="B237" s="21" t="str">
        <x:v>QE03-R01</x:v>
      </x:c>
      <x:c r="C237" s="21" t="n">
        <x:v>16</x:v>
      </x:c>
      <x:c r="D237" s="21" t="str">
        <x:v>controlled cell sections</x:v>
      </x:c>
      <x:c r="E237" s="21" t="n">
        <x:v>15</x:v>
      </x:c>
      <x:c r="F237" s="21" t="str">
        <x:v>OPEN</x:v>
      </x:c>
      <x:c r="G237" s="21" t="str"/>
      <x:c r="H237" s="21" t="str"/>
    </x:row>
    <x:row r="238">
      <x:c r="A238" s="21" t="str">
        <x:v>QE03-R01-D017</x:v>
      </x:c>
      <x:c r="B238" s="21" t="str">
        <x:v>QE03-R01</x:v>
      </x:c>
      <x:c r="C238" s="21" t="n">
        <x:v>17</x:v>
      </x:c>
      <x:c r="D238" s="21" t="str">
        <x:v>controlled cell sections</x:v>
      </x:c>
      <x:c r="E238" s="21" t="n">
        <x:v>16</x:v>
      </x:c>
      <x:c r="F238" s="21" t="str">
        <x:v>OPEN</x:v>
      </x:c>
      <x:c r="G238" s="21" t="str"/>
      <x:c r="H238" s="21" t="str"/>
    </x:row>
    <x:row r="239">
      <x:c r="A239" s="21" t="str">
        <x:v>QE03-R01-D018</x:v>
      </x:c>
      <x:c r="B239" s="21" t="str">
        <x:v>QE03-R01</x:v>
      </x:c>
      <x:c r="C239" s="21" t="n">
        <x:v>18</x:v>
      </x:c>
      <x:c r="D239" s="21" t="str">
        <x:v>controlled cell sections</x:v>
      </x:c>
      <x:c r="E239" s="21" t="n">
        <x:v>17</x:v>
      </x:c>
      <x:c r="F239" s="21" t="str">
        <x:v>OPEN</x:v>
      </x:c>
      <x:c r="G239" s="21" t="str"/>
      <x:c r="H239" s="21" t="str"/>
    </x:row>
    <x:row r="240">
      <x:c r="A240" s="21" t="str">
        <x:v>QE03-R01-D019</x:v>
      </x:c>
      <x:c r="B240" s="21" t="str">
        <x:v>QE03-R01</x:v>
      </x:c>
      <x:c r="C240" s="21" t="n">
        <x:v>19</x:v>
      </x:c>
      <x:c r="D240" s="21" t="str">
        <x:v>controlled cell sections</x:v>
      </x:c>
      <x:c r="E240" s="21" t="n">
        <x:v>18</x:v>
      </x:c>
      <x:c r="F240" s="21" t="str">
        <x:v>OPEN</x:v>
      </x:c>
      <x:c r="G240" s="21" t="str"/>
      <x:c r="H240" s="21" t="str"/>
    </x:row>
    <x:row r="241">
      <x:c r="A241" s="21" t="str">
        <x:v>QE03-R01-D020</x:v>
      </x:c>
      <x:c r="B241" s="21" t="str">
        <x:v>QE03-R01</x:v>
      </x:c>
      <x:c r="C241" s="21" t="n">
        <x:v>20</x:v>
      </x:c>
      <x:c r="D241" s="21" t="str">
        <x:v>controlled cell sections</x:v>
      </x:c>
      <x:c r="E241" s="21" t="n">
        <x:v>19</x:v>
      </x:c>
      <x:c r="F241" s="21" t="str">
        <x:v>OPEN</x:v>
      </x:c>
      <x:c r="G241" s="21" t="str"/>
      <x:c r="H241" s="21" t="str"/>
    </x:row>
    <x:row r="242">
      <x:c r="A242" s="21" t="str">
        <x:v>QE03-R01-D021</x:v>
      </x:c>
      <x:c r="B242" s="21" t="str">
        <x:v>QE03-R01</x:v>
      </x:c>
      <x:c r="C242" s="21" t="n">
        <x:v>21</x:v>
      </x:c>
      <x:c r="D242" s="21" t="str">
        <x:v>controlled cell sections</x:v>
      </x:c>
      <x:c r="E242" s="21" t="n">
        <x:v>20</x:v>
      </x:c>
      <x:c r="F242" s="21" t="str">
        <x:v>OPEN</x:v>
      </x:c>
      <x:c r="G242" s="21" t="str"/>
      <x:c r="H242" s="21" t="str"/>
    </x:row>
    <x:row r="243">
      <x:c r="A243" s="21" t="str">
        <x:v>QE03-R01-D022</x:v>
      </x:c>
      <x:c r="B243" s="21" t="str">
        <x:v>QE03-R01</x:v>
      </x:c>
      <x:c r="C243" s="21" t="n">
        <x:v>22</x:v>
      </x:c>
      <x:c r="D243" s="21" t="str">
        <x:v>configuration master</x:v>
      </x:c>
      <x:c r="E243" s="21" t="n">
        <x:v>1</x:v>
      </x:c>
      <x:c r="F243" s="21" t="str">
        <x:v>OPEN</x:v>
      </x:c>
      <x:c r="G243" s="21" t="str"/>
      <x:c r="H243" s="21" t="str"/>
    </x:row>
    <x:row r="244">
      <x:c r="A244" s="21" t="str">
        <x:v>QE03-R01-D023</x:v>
      </x:c>
      <x:c r="B244" s="21" t="str">
        <x:v>QE03-R01</x:v>
      </x:c>
      <x:c r="C244" s="21" t="n">
        <x:v>23</x:v>
      </x:c>
      <x:c r="D244" s="21" t="str">
        <x:v>water package</x:v>
      </x:c>
      <x:c r="E244" s="21" t="n">
        <x:v>1</x:v>
      </x:c>
      <x:c r="F244" s="21" t="str">
        <x:v>OPEN</x:v>
      </x:c>
      <x:c r="G244" s="21" t="str"/>
      <x:c r="H244" s="21" t="str"/>
    </x:row>
    <x:row r="245">
      <x:c r="A245" s="21" t="str">
        <x:v>QE03-R01-D024</x:v>
      </x:c>
      <x:c r="B245" s="21" t="str">
        <x:v>QE03-R01</x:v>
      </x:c>
      <x:c r="C245" s="21" t="n">
        <x:v>24</x:v>
      </x:c>
      <x:c r="D245" s="21" t="str">
        <x:v>final control elements</x:v>
      </x:c>
      <x:c r="E245" s="21" t="n">
        <x:v>1</x:v>
      </x:c>
      <x:c r="F245" s="21" t="str">
        <x:v>OPEN</x:v>
      </x:c>
      <x:c r="G245" s="21" t="str"/>
      <x:c r="H245" s="21" t="str"/>
    </x:row>
    <x:row r="246">
      <x:c r="A246" s="21" t="str">
        <x:v>QE03-R01-D025</x:v>
      </x:c>
      <x:c r="B246" s="21" t="str">
        <x:v>QE03-R01</x:v>
      </x:c>
      <x:c r="C246" s="21" t="n">
        <x:v>25</x:v>
      </x:c>
      <x:c r="D246" s="21" t="str">
        <x:v>final control elements</x:v>
      </x:c>
      <x:c r="E246" s="21" t="n">
        <x:v>2</x:v>
      </x:c>
      <x:c r="F246" s="21" t="str">
        <x:v>OPEN</x:v>
      </x:c>
      <x:c r="G246" s="21" t="str"/>
      <x:c r="H246" s="21" t="str"/>
    </x:row>
    <x:row r="247">
      <x:c r="A247" s="21" t="str">
        <x:v>QE03-R01-D026</x:v>
      </x:c>
      <x:c r="B247" s="21" t="str">
        <x:v>QE03-R01</x:v>
      </x:c>
      <x:c r="C247" s="21" t="n">
        <x:v>26</x:v>
      </x:c>
      <x:c r="D247" s="21" t="str">
        <x:v>final control elements</x:v>
      </x:c>
      <x:c r="E247" s="21" t="n">
        <x:v>3</x:v>
      </x:c>
      <x:c r="F247" s="21" t="str">
        <x:v>OPEN</x:v>
      </x:c>
      <x:c r="G247" s="21" t="str"/>
      <x:c r="H247" s="21" t="str"/>
    </x:row>
    <x:row r="248">
      <x:c r="A248" s="21" t="str">
        <x:v>QE03-R01-D027</x:v>
      </x:c>
      <x:c r="B248" s="21" t="str">
        <x:v>QE03-R01</x:v>
      </x:c>
      <x:c r="C248" s="21" t="n">
        <x:v>27</x:v>
      </x:c>
      <x:c r="D248" s="21" t="str">
        <x:v>final control elements</x:v>
      </x:c>
      <x:c r="E248" s="21" t="n">
        <x:v>4</x:v>
      </x:c>
      <x:c r="F248" s="21" t="str">
        <x:v>OPEN</x:v>
      </x:c>
      <x:c r="G248" s="21" t="str"/>
      <x:c r="H248" s="21" t="str"/>
    </x:row>
    <x:row r="249">
      <x:c r="A249" s="21" t="str">
        <x:v>QE03-R01-D028</x:v>
      </x:c>
      <x:c r="B249" s="21" t="str">
        <x:v>QE03-R01</x:v>
      </x:c>
      <x:c r="C249" s="21" t="n">
        <x:v>28</x:v>
      </x:c>
      <x:c r="D249" s="21" t="str">
        <x:v>final control elements</x:v>
      </x:c>
      <x:c r="E249" s="21" t="n">
        <x:v>5</x:v>
      </x:c>
      <x:c r="F249" s="21" t="str">
        <x:v>OPEN</x:v>
      </x:c>
      <x:c r="G249" s="21" t="str"/>
      <x:c r="H249" s="21" t="str"/>
    </x:row>
    <x:row r="250">
      <x:c r="A250" s="21" t="str">
        <x:v>QE03-R01-D029</x:v>
      </x:c>
      <x:c r="B250" s="21" t="str">
        <x:v>QE03-R01</x:v>
      </x:c>
      <x:c r="C250" s="21" t="n">
        <x:v>29</x:v>
      </x:c>
      <x:c r="D250" s="21" t="str">
        <x:v>final control elements</x:v>
      </x:c>
      <x:c r="E250" s="21" t="n">
        <x:v>6</x:v>
      </x:c>
      <x:c r="F250" s="21" t="str">
        <x:v>OPEN</x:v>
      </x:c>
      <x:c r="G250" s="21" t="str"/>
      <x:c r="H250" s="21" t="str"/>
    </x:row>
    <x:row r="251">
      <x:c r="A251" s="21" t="str">
        <x:v>QE03-R01-D030</x:v>
      </x:c>
      <x:c r="B251" s="21" t="str">
        <x:v>QE03-R01</x:v>
      </x:c>
      <x:c r="C251" s="21" t="n">
        <x:v>30</x:v>
      </x:c>
      <x:c r="D251" s="21" t="str">
        <x:v>final control elements</x:v>
      </x:c>
      <x:c r="E251" s="21" t="n">
        <x:v>7</x:v>
      </x:c>
      <x:c r="F251" s="21" t="str">
        <x:v>OPEN</x:v>
      </x:c>
      <x:c r="G251" s="21" t="str"/>
      <x:c r="H251" s="21" t="str"/>
    </x:row>
    <x:row r="252">
      <x:c r="A252" s="21" t="str">
        <x:v>QE03-R01-D031</x:v>
      </x:c>
      <x:c r="B252" s="21" t="str">
        <x:v>QE03-R01</x:v>
      </x:c>
      <x:c r="C252" s="21" t="n">
        <x:v>31</x:v>
      </x:c>
      <x:c r="D252" s="21" t="str">
        <x:v>final control elements</x:v>
      </x:c>
      <x:c r="E252" s="21" t="n">
        <x:v>8</x:v>
      </x:c>
      <x:c r="F252" s="21" t="str">
        <x:v>OPEN</x:v>
      </x:c>
      <x:c r="G252" s="21" t="str"/>
      <x:c r="H252" s="21" t="str"/>
    </x:row>
    <x:row r="253">
      <x:c r="A253" s="21" t="str">
        <x:v>QE03-R01-D032</x:v>
      </x:c>
      <x:c r="B253" s="21" t="str">
        <x:v>QE03-R01</x:v>
      </x:c>
      <x:c r="C253" s="21" t="n">
        <x:v>32</x:v>
      </x:c>
      <x:c r="D253" s="21" t="str">
        <x:v>final control elements</x:v>
      </x:c>
      <x:c r="E253" s="21" t="n">
        <x:v>9</x:v>
      </x:c>
      <x:c r="F253" s="21" t="str">
        <x:v>OPEN</x:v>
      </x:c>
      <x:c r="G253" s="21" t="str"/>
      <x:c r="H253" s="21" t="str"/>
    </x:row>
    <x:row r="254">
      <x:c r="A254" s="21" t="str">
        <x:v>QE03-R01-D033</x:v>
      </x:c>
      <x:c r="B254" s="21" t="str">
        <x:v>QE03-R01</x:v>
      </x:c>
      <x:c r="C254" s="21" t="n">
        <x:v>33</x:v>
      </x:c>
      <x:c r="D254" s="21" t="str">
        <x:v>final control elements</x:v>
      </x:c>
      <x:c r="E254" s="21" t="n">
        <x:v>10</x:v>
      </x:c>
      <x:c r="F254" s="21" t="str">
        <x:v>OPEN</x:v>
      </x:c>
      <x:c r="G254" s="21" t="str"/>
      <x:c r="H254" s="21" t="str"/>
    </x:row>
    <x:row r="255">
      <x:c r="A255" s="21" t="str">
        <x:v>QE03-R01-D034</x:v>
      </x:c>
      <x:c r="B255" s="21" t="str">
        <x:v>QE03-R01</x:v>
      </x:c>
      <x:c r="C255" s="21" t="n">
        <x:v>34</x:v>
      </x:c>
      <x:c r="D255" s="21" t="str">
        <x:v>final control elements</x:v>
      </x:c>
      <x:c r="E255" s="21" t="n">
        <x:v>11</x:v>
      </x:c>
      <x:c r="F255" s="21" t="str">
        <x:v>OPEN</x:v>
      </x:c>
      <x:c r="G255" s="21" t="str"/>
      <x:c r="H255" s="21" t="str"/>
    </x:row>
    <x:row r="256">
      <x:c r="A256" s="21" t="str">
        <x:v>QE03-R01-D035</x:v>
      </x:c>
      <x:c r="B256" s="21" t="str">
        <x:v>QE03-R01</x:v>
      </x:c>
      <x:c r="C256" s="21" t="n">
        <x:v>35</x:v>
      </x:c>
      <x:c r="D256" s="21" t="str">
        <x:v>final control elements</x:v>
      </x:c>
      <x:c r="E256" s="21" t="n">
        <x:v>12</x:v>
      </x:c>
      <x:c r="F256" s="21" t="str">
        <x:v>OPEN</x:v>
      </x:c>
      <x:c r="G256" s="21" t="str"/>
      <x:c r="H256" s="21" t="str"/>
    </x:row>
    <x:row r="257">
      <x:c r="A257" s="21" t="str">
        <x:v>QE03-R01-D036</x:v>
      </x:c>
      <x:c r="B257" s="21" t="str">
        <x:v>QE03-R01</x:v>
      </x:c>
      <x:c r="C257" s="21" t="n">
        <x:v>36</x:v>
      </x:c>
      <x:c r="D257" s="21" t="str">
        <x:v>safeing paths</x:v>
      </x:c>
      <x:c r="E257" s="21" t="n">
        <x:v>1</x:v>
      </x:c>
      <x:c r="F257" s="21" t="str">
        <x:v>OPEN</x:v>
      </x:c>
      <x:c r="G257" s="21" t="str"/>
      <x:c r="H257" s="21" t="str"/>
    </x:row>
    <x:row r="258">
      <x:c r="A258" s="21" t="str">
        <x:v>QE03-R01-D037</x:v>
      </x:c>
      <x:c r="B258" s="21" t="str">
        <x:v>QE03-R01</x:v>
      </x:c>
      <x:c r="C258" s="21" t="n">
        <x:v>37</x:v>
      </x:c>
      <x:c r="D258" s="21" t="str">
        <x:v>safeing paths</x:v>
      </x:c>
      <x:c r="E258" s="21" t="n">
        <x:v>2</x:v>
      </x:c>
      <x:c r="F258" s="21" t="str">
        <x:v>OPEN</x:v>
      </x:c>
      <x:c r="G258" s="21" t="str"/>
      <x:c r="H258" s="21" t="str"/>
    </x:row>
    <x:row r="259">
      <x:c r="A259" s="21" t="str">
        <x:v>QE03-R01-D038</x:v>
      </x:c>
      <x:c r="B259" s="21" t="str">
        <x:v>QE03-R01</x:v>
      </x:c>
      <x:c r="C259" s="21" t="n">
        <x:v>38</x:v>
      </x:c>
      <x:c r="D259" s="21" t="str">
        <x:v>safeing paths</x:v>
      </x:c>
      <x:c r="E259" s="21" t="n">
        <x:v>3</x:v>
      </x:c>
      <x:c r="F259" s="21" t="str">
        <x:v>OPEN</x:v>
      </x:c>
      <x:c r="G259" s="21" t="str"/>
      <x:c r="H259" s="21" t="str"/>
    </x:row>
    <x:row r="260">
      <x:c r="A260" s="21" t="str">
        <x:v>QE03-R01-D039</x:v>
      </x:c>
      <x:c r="B260" s="21" t="str">
        <x:v>QE03-R01</x:v>
      </x:c>
      <x:c r="C260" s="21" t="n">
        <x:v>39</x:v>
      </x:c>
      <x:c r="D260" s="21" t="str">
        <x:v>safeing paths</x:v>
      </x:c>
      <x:c r="E260" s="21" t="n">
        <x:v>4</x:v>
      </x:c>
      <x:c r="F260" s="21" t="str">
        <x:v>OPEN</x:v>
      </x:c>
      <x:c r="G260" s="21" t="str"/>
      <x:c r="H260" s="21" t="str"/>
    </x:row>
    <x:row r="261">
      <x:c r="A261" s="21" t="str">
        <x:v>QE03-R01-D040</x:v>
      </x:c>
      <x:c r="B261" s="21" t="str">
        <x:v>QE03-R01</x:v>
      </x:c>
      <x:c r="C261" s="21" t="n">
        <x:v>40</x:v>
      </x:c>
      <x:c r="D261" s="21" t="str">
        <x:v>safeing paths</x:v>
      </x:c>
      <x:c r="E261" s="21" t="n">
        <x:v>5</x:v>
      </x:c>
      <x:c r="F261" s="21" t="str">
        <x:v>OPEN</x:v>
      </x:c>
      <x:c r="G261" s="21" t="str"/>
      <x:c r="H261" s="21" t="str"/>
    </x:row>
    <x:row r="262">
      <x:c r="A262" s="21" t="str">
        <x:v>QE03-R01-D041</x:v>
      </x:c>
      <x:c r="B262" s="21" t="str">
        <x:v>QE03-R01</x:v>
      </x:c>
      <x:c r="C262" s="21" t="n">
        <x:v>41</x:v>
      </x:c>
      <x:c r="D262" s="21" t="str">
        <x:v>safeing paths</x:v>
      </x:c>
      <x:c r="E262" s="21" t="n">
        <x:v>6</x:v>
      </x:c>
      <x:c r="F262" s="21" t="str">
        <x:v>OPEN</x:v>
      </x:c>
      <x:c r="G262" s="21" t="str"/>
      <x:c r="H262" s="21" t="str"/>
    </x:row>
    <x:row r="263">
      <x:c r="A263" s="21" t="str">
        <x:v>QE03-R01-D042</x:v>
      </x:c>
      <x:c r="B263" s="21" t="str">
        <x:v>QE03-R01</x:v>
      </x:c>
      <x:c r="C263" s="21" t="n">
        <x:v>42</x:v>
      </x:c>
      <x:c r="D263" s="21" t="str">
        <x:v>safeing paths</x:v>
      </x:c>
      <x:c r="E263" s="21" t="n">
        <x:v>7</x:v>
      </x:c>
      <x:c r="F263" s="21" t="str">
        <x:v>OPEN</x:v>
      </x:c>
      <x:c r="G263" s="21" t="str"/>
      <x:c r="H263" s="21" t="str"/>
    </x:row>
    <x:row r="264">
      <x:c r="A264" s="21" t="str">
        <x:v>QE03-R01-D043</x:v>
      </x:c>
      <x:c r="B264" s="21" t="str">
        <x:v>QE03-R01</x:v>
      </x:c>
      <x:c r="C264" s="21" t="n">
        <x:v>43</x:v>
      </x:c>
      <x:c r="D264" s="21" t="str">
        <x:v>safeing paths</x:v>
      </x:c>
      <x:c r="E264" s="21" t="n">
        <x:v>8</x:v>
      </x:c>
      <x:c r="F264" s="21" t="str">
        <x:v>OPEN</x:v>
      </x:c>
      <x:c r="G264" s="21" t="str"/>
      <x:c r="H264" s="21" t="str"/>
    </x:row>
    <x:row r="265">
      <x:c r="A265" s="21" t="str">
        <x:v>QE03-R01-D044</x:v>
      </x:c>
      <x:c r="B265" s="21" t="str">
        <x:v>QE03-R01</x:v>
      </x:c>
      <x:c r="C265" s="21" t="n">
        <x:v>44</x:v>
      </x:c>
      <x:c r="D265" s="21" t="str">
        <x:v>safeing paths</x:v>
      </x:c>
      <x:c r="E265" s="21" t="n">
        <x:v>9</x:v>
      </x:c>
      <x:c r="F265" s="21" t="str">
        <x:v>OPEN</x:v>
      </x:c>
      <x:c r="G265" s="21" t="str"/>
      <x:c r="H265" s="21" t="str"/>
    </x:row>
    <x:row r="266">
      <x:c r="A266" s="21" t="str">
        <x:v>QE03-R01-D045</x:v>
      </x:c>
      <x:c r="B266" s="21" t="str">
        <x:v>QE03-R01</x:v>
      </x:c>
      <x:c r="C266" s="21" t="n">
        <x:v>45</x:v>
      </x:c>
      <x:c r="D266" s="21" t="str">
        <x:v>safeing paths</x:v>
      </x:c>
      <x:c r="E266" s="21" t="n">
        <x:v>10</x:v>
      </x:c>
      <x:c r="F266" s="21" t="str">
        <x:v>OPEN</x:v>
      </x:c>
      <x:c r="G266" s="21" t="str"/>
      <x:c r="H266" s="21" t="str"/>
    </x:row>
    <x:row r="267">
      <x:c r="A267" s="21" t="str">
        <x:v>QE03-R01-D046</x:v>
      </x:c>
      <x:c r="B267" s="21" t="str">
        <x:v>QE03-R01</x:v>
      </x:c>
      <x:c r="C267" s="21" t="n">
        <x:v>46</x:v>
      </x:c>
      <x:c r="D267" s="21" t="str">
        <x:v>safeing paths</x:v>
      </x:c>
      <x:c r="E267" s="21" t="n">
        <x:v>11</x:v>
      </x:c>
      <x:c r="F267" s="21" t="str">
        <x:v>OPEN</x:v>
      </x:c>
      <x:c r="G267" s="21" t="str"/>
      <x:c r="H267" s="21" t="str"/>
    </x:row>
    <x:row r="268">
      <x:c r="A268" s="21" t="str">
        <x:v>QE03-R01-D047</x:v>
      </x:c>
      <x:c r="B268" s="21" t="str">
        <x:v>QE03-R01</x:v>
      </x:c>
      <x:c r="C268" s="21" t="n">
        <x:v>47</x:v>
      </x:c>
      <x:c r="D268" s="21" t="str">
        <x:v>safeing paths</x:v>
      </x:c>
      <x:c r="E268" s="21" t="n">
        <x:v>12</x:v>
      </x:c>
      <x:c r="F268" s="21" t="str">
        <x:v>OPEN</x:v>
      </x:c>
      <x:c r="G268" s="21" t="str"/>
      <x:c r="H268" s="21" t="str"/>
    </x:row>
    <x:row r="269">
      <x:c r="A269" s="21" t="str">
        <x:v>QE03-R01-D048</x:v>
      </x:c>
      <x:c r="B269" s="21" t="str">
        <x:v>QE03-R01</x:v>
      </x:c>
      <x:c r="C269" s="21" t="n">
        <x:v>48</x:v>
      </x:c>
      <x:c r="D269" s="21" t="str">
        <x:v>safeing paths</x:v>
      </x:c>
      <x:c r="E269" s="21" t="n">
        <x:v>13</x:v>
      </x:c>
      <x:c r="F269" s="21" t="str">
        <x:v>OPEN</x:v>
      </x:c>
      <x:c r="G269" s="21" t="str"/>
      <x:c r="H269" s="21" t="str"/>
    </x:row>
    <x:row r="270">
      <x:c r="A270" s="21" t="str">
        <x:v>QE03-R01-D049</x:v>
      </x:c>
      <x:c r="B270" s="21" t="str">
        <x:v>QE03-R01</x:v>
      </x:c>
      <x:c r="C270" s="21" t="n">
        <x:v>49</x:v>
      </x:c>
      <x:c r="D270" s="21" t="str">
        <x:v>safeing paths</x:v>
      </x:c>
      <x:c r="E270" s="21" t="n">
        <x:v>14</x:v>
      </x:c>
      <x:c r="F270" s="21" t="str">
        <x:v>OPEN</x:v>
      </x:c>
      <x:c r="G270" s="21" t="str"/>
      <x:c r="H270" s="21" t="str"/>
    </x:row>
    <x:row r="271">
      <x:c r="A271" s="21" t="str">
        <x:v>QE03-R01-D050</x:v>
      </x:c>
      <x:c r="B271" s="21" t="str">
        <x:v>QE03-R01</x:v>
      </x:c>
      <x:c r="C271" s="21" t="n">
        <x:v>50</x:v>
      </x:c>
      <x:c r="D271" s="21" t="str">
        <x:v>safeing paths</x:v>
      </x:c>
      <x:c r="E271" s="21" t="n">
        <x:v>15</x:v>
      </x:c>
      <x:c r="F271" s="21" t="str">
        <x:v>OPEN</x:v>
      </x:c>
      <x:c r="G271" s="21" t="str"/>
      <x:c r="H271" s="21" t="str"/>
    </x:row>
    <x:row r="272">
      <x:c r="A272" s="21" t="str">
        <x:v>QE03-R01-D051</x:v>
      </x:c>
      <x:c r="B272" s="21" t="str">
        <x:v>QE03-R01</x:v>
      </x:c>
      <x:c r="C272" s="21" t="n">
        <x:v>51</x:v>
      </x:c>
      <x:c r="D272" s="21" t="str">
        <x:v>safeing paths</x:v>
      </x:c>
      <x:c r="E272" s="21" t="n">
        <x:v>16</x:v>
      </x:c>
      <x:c r="F272" s="21" t="str">
        <x:v>OPEN</x:v>
      </x:c>
      <x:c r="G272" s="21" t="str"/>
      <x:c r="H272" s="21" t="str"/>
    </x:row>
    <x:row r="273">
      <x:c r="A273" s="21" t="str">
        <x:v>QE03-R01-D052</x:v>
      </x:c>
      <x:c r="B273" s="21" t="str">
        <x:v>QE03-R01</x:v>
      </x:c>
      <x:c r="C273" s="21" t="n">
        <x:v>52</x:v>
      </x:c>
      <x:c r="D273" s="21" t="str">
        <x:v>safeing paths</x:v>
      </x:c>
      <x:c r="E273" s="21" t="n">
        <x:v>17</x:v>
      </x:c>
      <x:c r="F273" s="21" t="str">
        <x:v>OPEN</x:v>
      </x:c>
      <x:c r="G273" s="21" t="str"/>
      <x:c r="H273" s="21" t="str"/>
    </x:row>
    <x:row r="274">
      <x:c r="A274" s="21" t="str">
        <x:v>QE03-R01-D053</x:v>
      </x:c>
      <x:c r="B274" s="21" t="str">
        <x:v>QE03-R01</x:v>
      </x:c>
      <x:c r="C274" s="21" t="n">
        <x:v>53</x:v>
      </x:c>
      <x:c r="D274" s="21" t="str">
        <x:v>safeing paths</x:v>
      </x:c>
      <x:c r="E274" s="21" t="n">
        <x:v>18</x:v>
      </x:c>
      <x:c r="F274" s="21" t="str">
        <x:v>OPEN</x:v>
      </x:c>
      <x:c r="G274" s="21" t="str"/>
      <x:c r="H274" s="21" t="str"/>
    </x:row>
    <x:row r="275">
      <x:c r="A275" s="21" t="str">
        <x:v>QE03-R01-D054</x:v>
      </x:c>
      <x:c r="B275" s="21" t="str">
        <x:v>QE03-R01</x:v>
      </x:c>
      <x:c r="C275" s="21" t="n">
        <x:v>54</x:v>
      </x:c>
      <x:c r="D275" s="21" t="str">
        <x:v>safeing paths</x:v>
      </x:c>
      <x:c r="E275" s="21" t="n">
        <x:v>19</x:v>
      </x:c>
      <x:c r="F275" s="21" t="str">
        <x:v>OPEN</x:v>
      </x:c>
      <x:c r="G275" s="21" t="str"/>
      <x:c r="H275" s="21" t="str"/>
    </x:row>
    <x:row r="276">
      <x:c r="A276" s="21" t="str">
        <x:v>QE03-R01-D055</x:v>
      </x:c>
      <x:c r="B276" s="21" t="str">
        <x:v>QE03-R01</x:v>
      </x:c>
      <x:c r="C276" s="21" t="n">
        <x:v>55</x:v>
      </x:c>
      <x:c r="D276" s="21" t="str">
        <x:v>safeing paths</x:v>
      </x:c>
      <x:c r="E276" s="21" t="n">
        <x:v>20</x:v>
      </x:c>
      <x:c r="F276" s="21" t="str">
        <x:v>OPEN</x:v>
      </x:c>
      <x:c r="G276" s="21" t="str"/>
      <x:c r="H276" s="21" t="str"/>
    </x:row>
    <x:row r="277">
      <x:c r="A277" s="21" t="str">
        <x:v>QE03-R01-D056</x:v>
      </x:c>
      <x:c r="B277" s="21" t="str">
        <x:v>QE03-R01</x:v>
      </x:c>
      <x:c r="C277" s="21" t="n">
        <x:v>56</x:v>
      </x:c>
      <x:c r="D277" s="21" t="str">
        <x:v>safeing paths</x:v>
      </x:c>
      <x:c r="E277" s="21" t="n">
        <x:v>21</x:v>
      </x:c>
      <x:c r="F277" s="21" t="str">
        <x:v>OPEN</x:v>
      </x:c>
      <x:c r="G277" s="21" t="str"/>
      <x:c r="H277" s="21" t="str"/>
    </x:row>
    <x:row r="278">
      <x:c r="A278" s="21" t="str">
        <x:v>QE03-R01-D057</x:v>
      </x:c>
      <x:c r="B278" s="21" t="str">
        <x:v>QE03-R01</x:v>
      </x:c>
      <x:c r="C278" s="21" t="n">
        <x:v>57</x:v>
      </x:c>
      <x:c r="D278" s="21" t="str">
        <x:v>safeing paths</x:v>
      </x:c>
      <x:c r="E278" s="21" t="n">
        <x:v>22</x:v>
      </x:c>
      <x:c r="F278" s="21" t="str">
        <x:v>OPEN</x:v>
      </x:c>
      <x:c r="G278" s="21" t="str"/>
      <x:c r="H278" s="21" t="str"/>
    </x:row>
    <x:row r="279">
      <x:c r="A279" s="21" t="str">
        <x:v>QE03-R01-D058</x:v>
      </x:c>
      <x:c r="B279" s="21" t="str">
        <x:v>QE03-R01</x:v>
      </x:c>
      <x:c r="C279" s="21" t="n">
        <x:v>58</x:v>
      </x:c>
      <x:c r="D279" s="21" t="str">
        <x:v>safeing paths</x:v>
      </x:c>
      <x:c r="E279" s="21" t="n">
        <x:v>23</x:v>
      </x:c>
      <x:c r="F279" s="21" t="str">
        <x:v>OPEN</x:v>
      </x:c>
      <x:c r="G279" s="21" t="str"/>
      <x:c r="H279" s="21" t="str"/>
    </x:row>
    <x:row r="280">
      <x:c r="A280" s="21" t="str">
        <x:v>QE03-R01-D059</x:v>
      </x:c>
      <x:c r="B280" s="21" t="str">
        <x:v>QE03-R01</x:v>
      </x:c>
      <x:c r="C280" s="21" t="n">
        <x:v>59</x:v>
      </x:c>
      <x:c r="D280" s="21" t="str">
        <x:v>safeing paths</x:v>
      </x:c>
      <x:c r="E280" s="21" t="n">
        <x:v>24</x:v>
      </x:c>
      <x:c r="F280" s="21" t="str">
        <x:v>OPEN</x:v>
      </x:c>
      <x:c r="G280" s="21" t="str"/>
      <x:c r="H280" s="21" t="str"/>
    </x:row>
    <x:row r="281">
      <x:c r="A281" s="21" t="str">
        <x:v>QE03-R01-D060</x:v>
      </x:c>
      <x:c r="B281" s="21" t="str">
        <x:v>QE03-R01</x:v>
      </x:c>
      <x:c r="C281" s="21" t="n">
        <x:v>60</x:v>
      </x:c>
      <x:c r="D281" s="21" t="str">
        <x:v>safeing paths</x:v>
      </x:c>
      <x:c r="E281" s="21" t="n">
        <x:v>25</x:v>
      </x:c>
      <x:c r="F281" s="21" t="str">
        <x:v>OPEN</x:v>
      </x:c>
      <x:c r="G281" s="21" t="str"/>
      <x:c r="H281" s="21" t="str"/>
    </x:row>
    <x:row r="282">
      <x:c r="A282" s="21" t="str">
        <x:v>QE03-R01-D061</x:v>
      </x:c>
      <x:c r="B282" s="21" t="str">
        <x:v>QE03-R01</x:v>
      </x:c>
      <x:c r="C282" s="21" t="n">
        <x:v>61</x:v>
      </x:c>
      <x:c r="D282" s="21" t="str">
        <x:v>safeing paths</x:v>
      </x:c>
      <x:c r="E282" s="21" t="n">
        <x:v>26</x:v>
      </x:c>
      <x:c r="F282" s="21" t="str">
        <x:v>OPEN</x:v>
      </x:c>
      <x:c r="G282" s="21" t="str"/>
      <x:c r="H282" s="21" t="str"/>
    </x:row>
    <x:row r="283">
      <x:c r="A283" s="21" t="str">
        <x:v>QE03-R01-D062</x:v>
      </x:c>
      <x:c r="B283" s="21" t="str">
        <x:v>QE03-R01</x:v>
      </x:c>
      <x:c r="C283" s="21" t="n">
        <x:v>62</x:v>
      </x:c>
      <x:c r="D283" s="21" t="str">
        <x:v>safeing paths</x:v>
      </x:c>
      <x:c r="E283" s="21" t="n">
        <x:v>27</x:v>
      </x:c>
      <x:c r="F283" s="21" t="str">
        <x:v>OPEN</x:v>
      </x:c>
      <x:c r="G283" s="21" t="str"/>
      <x:c r="H283" s="21" t="str"/>
    </x:row>
    <x:row r="284">
      <x:c r="A284" s="21" t="str">
        <x:v>QE03-R01-D063</x:v>
      </x:c>
      <x:c r="B284" s="21" t="str">
        <x:v>QE03-R01</x:v>
      </x:c>
      <x:c r="C284" s="21" t="n">
        <x:v>63</x:v>
      </x:c>
      <x:c r="D284" s="21" t="str">
        <x:v>safeing paths</x:v>
      </x:c>
      <x:c r="E284" s="21" t="n">
        <x:v>28</x:v>
      </x:c>
      <x:c r="F284" s="21" t="str">
        <x:v>OPEN</x:v>
      </x:c>
      <x:c r="G284" s="21" t="str"/>
      <x:c r="H284" s="21" t="str"/>
    </x:row>
    <x:row r="285">
      <x:c r="A285" s="21" t="str">
        <x:v>QE03-R01-D064</x:v>
      </x:c>
      <x:c r="B285" s="21" t="str">
        <x:v>QE03-R01</x:v>
      </x:c>
      <x:c r="C285" s="21" t="n">
        <x:v>64</x:v>
      </x:c>
      <x:c r="D285" s="21" t="str">
        <x:v>safeing paths</x:v>
      </x:c>
      <x:c r="E285" s="21" t="n">
        <x:v>29</x:v>
      </x:c>
      <x:c r="F285" s="21" t="str">
        <x:v>OPEN</x:v>
      </x:c>
      <x:c r="G285" s="21" t="str"/>
      <x:c r="H285" s="21" t="str"/>
    </x:row>
    <x:row r="286">
      <x:c r="A286" s="21" t="str">
        <x:v>QE03-R01-D065</x:v>
      </x:c>
      <x:c r="B286" s="21" t="str">
        <x:v>QE03-R01</x:v>
      </x:c>
      <x:c r="C286" s="21" t="n">
        <x:v>65</x:v>
      </x:c>
      <x:c r="D286" s="21" t="str">
        <x:v>safeing paths</x:v>
      </x:c>
      <x:c r="E286" s="21" t="n">
        <x:v>30</x:v>
      </x:c>
      <x:c r="F286" s="21" t="str">
        <x:v>OPEN</x:v>
      </x:c>
      <x:c r="G286" s="21" t="str"/>
      <x:c r="H286" s="21" t="str"/>
    </x:row>
    <x:row r="287">
      <x:c r="A287" s="21" t="str">
        <x:v>QE03-R01-D066</x:v>
      </x:c>
      <x:c r="B287" s="21" t="str">
        <x:v>QE03-R01</x:v>
      </x:c>
      <x:c r="C287" s="21" t="n">
        <x:v>66</x:v>
      </x:c>
      <x:c r="D287" s="21" t="str">
        <x:v>safeing paths</x:v>
      </x:c>
      <x:c r="E287" s="21" t="n">
        <x:v>31</x:v>
      </x:c>
      <x:c r="F287" s="21" t="str">
        <x:v>OPEN</x:v>
      </x:c>
      <x:c r="G287" s="21" t="str"/>
      <x:c r="H287" s="21" t="str"/>
    </x:row>
    <x:row r="288">
      <x:c r="A288" s="21" t="str">
        <x:v>QE03-R01-D067</x:v>
      </x:c>
      <x:c r="B288" s="21" t="str">
        <x:v>QE03-R01</x:v>
      </x:c>
      <x:c r="C288" s="21" t="n">
        <x:v>67</x:v>
      </x:c>
      <x:c r="D288" s="21" t="str">
        <x:v>safeing paths</x:v>
      </x:c>
      <x:c r="E288" s="21" t="n">
        <x:v>32</x:v>
      </x:c>
      <x:c r="F288" s="21" t="str">
        <x:v>OPEN</x:v>
      </x:c>
      <x:c r="G288" s="21" t="str"/>
      <x:c r="H288" s="21" t="str"/>
    </x:row>
    <x:row r="289">
      <x:c r="A289" s="21" t="str">
        <x:v>QE03-R01-D068</x:v>
      </x:c>
      <x:c r="B289" s="21" t="str">
        <x:v>QE03-R01</x:v>
      </x:c>
      <x:c r="C289" s="21" t="n">
        <x:v>68</x:v>
      </x:c>
      <x:c r="D289" s="21" t="str">
        <x:v>safeing paths</x:v>
      </x:c>
      <x:c r="E289" s="21" t="n">
        <x:v>33</x:v>
      </x:c>
      <x:c r="F289" s="21" t="str">
        <x:v>OPEN</x:v>
      </x:c>
      <x:c r="G289" s="21" t="str"/>
      <x:c r="H289" s="21" t="str"/>
    </x:row>
    <x:row r="290">
      <x:c r="A290" s="21" t="str">
        <x:v>QE03-R01-D069</x:v>
      </x:c>
      <x:c r="B290" s="21" t="str">
        <x:v>QE03-R01</x:v>
      </x:c>
      <x:c r="C290" s="21" t="n">
        <x:v>69</x:v>
      </x:c>
      <x:c r="D290" s="21" t="str">
        <x:v>safeing paths</x:v>
      </x:c>
      <x:c r="E290" s="21" t="n">
        <x:v>34</x:v>
      </x:c>
      <x:c r="F290" s="21" t="str">
        <x:v>OPEN</x:v>
      </x:c>
      <x:c r="G290" s="21" t="str"/>
      <x:c r="H290" s="21" t="str"/>
    </x:row>
    <x:row r="291">
      <x:c r="A291" s="21" t="str">
        <x:v>QE03-R01-D070</x:v>
      </x:c>
      <x:c r="B291" s="21" t="str">
        <x:v>QE03-R01</x:v>
      </x:c>
      <x:c r="C291" s="21" t="n">
        <x:v>70</x:v>
      </x:c>
      <x:c r="D291" s="21" t="str">
        <x:v>safeing paths</x:v>
      </x:c>
      <x:c r="E291" s="21" t="n">
        <x:v>35</x:v>
      </x:c>
      <x:c r="F291" s="21" t="str">
        <x:v>OPEN</x:v>
      </x:c>
      <x:c r="G291" s="21" t="str"/>
      <x:c r="H291" s="21" t="str"/>
    </x:row>
    <x:row r="292">
      <x:c r="A292" s="21" t="str">
        <x:v>QE03-R01-D071</x:v>
      </x:c>
      <x:c r="B292" s="21" t="str">
        <x:v>QE03-R01</x:v>
      </x:c>
      <x:c r="C292" s="21" t="n">
        <x:v>71</x:v>
      </x:c>
      <x:c r="D292" s="21" t="str">
        <x:v>safeing paths</x:v>
      </x:c>
      <x:c r="E292" s="21" t="n">
        <x:v>36</x:v>
      </x:c>
      <x:c r="F292" s="21" t="str">
        <x:v>OPEN</x:v>
      </x:c>
      <x:c r="G292" s="21" t="str"/>
      <x:c r="H292" s="21" t="str"/>
    </x:row>
    <x:row r="293">
      <x:c r="A293" s="21" t="str">
        <x:v>QE03-R01-D072</x:v>
      </x:c>
      <x:c r="B293" s="21" t="str">
        <x:v>QE03-R01</x:v>
      </x:c>
      <x:c r="C293" s="21" t="n">
        <x:v>72</x:v>
      </x:c>
      <x:c r="D293" s="21" t="str">
        <x:v>safeing proofs</x:v>
      </x:c>
      <x:c r="E293" s="21" t="n">
        <x:v>1</x:v>
      </x:c>
      <x:c r="F293" s="21" t="str">
        <x:v>OPEN</x:v>
      </x:c>
      <x:c r="G293" s="21" t="str"/>
      <x:c r="H293" s="21" t="str"/>
    </x:row>
    <x:row r="294">
      <x:c r="A294" s="21" t="str">
        <x:v>QE03-R01-D073</x:v>
      </x:c>
      <x:c r="B294" s="21" t="str">
        <x:v>QE03-R01</x:v>
      </x:c>
      <x:c r="C294" s="21" t="n">
        <x:v>73</x:v>
      </x:c>
      <x:c r="D294" s="21" t="str">
        <x:v>safeing proofs</x:v>
      </x:c>
      <x:c r="E294" s="21" t="n">
        <x:v>2</x:v>
      </x:c>
      <x:c r="F294" s="21" t="str">
        <x:v>OPEN</x:v>
      </x:c>
      <x:c r="G294" s="21" t="str"/>
      <x:c r="H294" s="21" t="str"/>
    </x:row>
    <x:row r="295">
      <x:c r="A295" s="21" t="str">
        <x:v>QE03-R01-D074</x:v>
      </x:c>
      <x:c r="B295" s="21" t="str">
        <x:v>QE03-R01</x:v>
      </x:c>
      <x:c r="C295" s="21" t="n">
        <x:v>74</x:v>
      </x:c>
      <x:c r="D295" s="21" t="str">
        <x:v>safeing proofs</x:v>
      </x:c>
      <x:c r="E295" s="21" t="n">
        <x:v>3</x:v>
      </x:c>
      <x:c r="F295" s="21" t="str">
        <x:v>OPEN</x:v>
      </x:c>
      <x:c r="G295" s="21" t="str"/>
      <x:c r="H295" s="21" t="str"/>
    </x:row>
    <x:row r="296">
      <x:c r="A296" s="21" t="str">
        <x:v>QE03-R01-D075</x:v>
      </x:c>
      <x:c r="B296" s="21" t="str">
        <x:v>QE03-R01</x:v>
      </x:c>
      <x:c r="C296" s="21" t="n">
        <x:v>75</x:v>
      </x:c>
      <x:c r="D296" s="21" t="str">
        <x:v>safeing proofs</x:v>
      </x:c>
      <x:c r="E296" s="21" t="n">
        <x:v>4</x:v>
      </x:c>
      <x:c r="F296" s="21" t="str">
        <x:v>OPEN</x:v>
      </x:c>
      <x:c r="G296" s="21" t="str"/>
      <x:c r="H296" s="21" t="str"/>
    </x:row>
    <x:row r="297">
      <x:c r="A297" s="21" t="str">
        <x:v>QE03-R01-D076</x:v>
      </x:c>
      <x:c r="B297" s="21" t="str">
        <x:v>QE03-R01</x:v>
      </x:c>
      <x:c r="C297" s="21" t="n">
        <x:v>76</x:v>
      </x:c>
      <x:c r="D297" s="21" t="str">
        <x:v>safeing proofs</x:v>
      </x:c>
      <x:c r="E297" s="21" t="n">
        <x:v>5</x:v>
      </x:c>
      <x:c r="F297" s="21" t="str">
        <x:v>OPEN</x:v>
      </x:c>
      <x:c r="G297" s="21" t="str"/>
      <x:c r="H297" s="21" t="str"/>
    </x:row>
    <x:row r="298">
      <x:c r="A298" s="21" t="str">
        <x:v>QE03-R01-D077</x:v>
      </x:c>
      <x:c r="B298" s="21" t="str">
        <x:v>QE03-R01</x:v>
      </x:c>
      <x:c r="C298" s="21" t="n">
        <x:v>77</x:v>
      </x:c>
      <x:c r="D298" s="21" t="str">
        <x:v>safeing proofs</x:v>
      </x:c>
      <x:c r="E298" s="21" t="n">
        <x:v>6</x:v>
      </x:c>
      <x:c r="F298" s="21" t="str">
        <x:v>OPEN</x:v>
      </x:c>
      <x:c r="G298" s="21" t="str"/>
      <x:c r="H298" s="21" t="str"/>
    </x:row>
    <x:row r="299">
      <x:c r="A299" s="21" t="str">
        <x:v>QE03-R01-D078</x:v>
      </x:c>
      <x:c r="B299" s="21" t="str">
        <x:v>QE03-R01</x:v>
      </x:c>
      <x:c r="C299" s="21" t="n">
        <x:v>78</x:v>
      </x:c>
      <x:c r="D299" s="21" t="str">
        <x:v>safeing proofs</x:v>
      </x:c>
      <x:c r="E299" s="21" t="n">
        <x:v>7</x:v>
      </x:c>
      <x:c r="F299" s="21" t="str">
        <x:v>OPEN</x:v>
      </x:c>
      <x:c r="G299" s="21" t="str"/>
      <x:c r="H299" s="21" t="str"/>
    </x:row>
    <x:row r="300">
      <x:c r="A300" s="21" t="str">
        <x:v>QE03-R01-D079</x:v>
      </x:c>
      <x:c r="B300" s="21" t="str">
        <x:v>QE03-R01</x:v>
      </x:c>
      <x:c r="C300" s="21" t="n">
        <x:v>79</x:v>
      </x:c>
      <x:c r="D300" s="21" t="str">
        <x:v>safeing proofs</x:v>
      </x:c>
      <x:c r="E300" s="21" t="n">
        <x:v>8</x:v>
      </x:c>
      <x:c r="F300" s="21" t="str">
        <x:v>OPEN</x:v>
      </x:c>
      <x:c r="G300" s="21" t="str"/>
      <x:c r="H300" s="21" t="str"/>
    </x:row>
    <x:row r="301">
      <x:c r="A301" s="21" t="str">
        <x:v>QE03-R01-D080</x:v>
      </x:c>
      <x:c r="B301" s="21" t="str">
        <x:v>QE03-R01</x:v>
      </x:c>
      <x:c r="C301" s="21" t="n">
        <x:v>80</x:v>
      </x:c>
      <x:c r="D301" s="21" t="str">
        <x:v>safeing proofs</x:v>
      </x:c>
      <x:c r="E301" s="21" t="n">
        <x:v>9</x:v>
      </x:c>
      <x:c r="F301" s="21" t="str">
        <x:v>OPEN</x:v>
      </x:c>
      <x:c r="G301" s="21" t="str"/>
      <x:c r="H301" s="21" t="str"/>
    </x:row>
    <x:row r="302">
      <x:c r="A302" s="21" t="str">
        <x:v>QE03-R01-D081</x:v>
      </x:c>
      <x:c r="B302" s="21" t="str">
        <x:v>QE03-R01</x:v>
      </x:c>
      <x:c r="C302" s="21" t="n">
        <x:v>81</x:v>
      </x:c>
      <x:c r="D302" s="21" t="str">
        <x:v>safeing proofs</x:v>
      </x:c>
      <x:c r="E302" s="21" t="n">
        <x:v>10</x:v>
      </x:c>
      <x:c r="F302" s="21" t="str">
        <x:v>OPEN</x:v>
      </x:c>
      <x:c r="G302" s="21" t="str"/>
      <x:c r="H302" s="21" t="str"/>
    </x:row>
    <x:row r="303">
      <x:c r="A303" s="21" t="str">
        <x:v>QE03-R01-D082</x:v>
      </x:c>
      <x:c r="B303" s="21" t="str">
        <x:v>QE03-R01</x:v>
      </x:c>
      <x:c r="C303" s="21" t="n">
        <x:v>82</x:v>
      </x:c>
      <x:c r="D303" s="21" t="str">
        <x:v>safeing proofs</x:v>
      </x:c>
      <x:c r="E303" s="21" t="n">
        <x:v>11</x:v>
      </x:c>
      <x:c r="F303" s="21" t="str">
        <x:v>OPEN</x:v>
      </x:c>
      <x:c r="G303" s="21" t="str"/>
      <x:c r="H303" s="21" t="str"/>
    </x:row>
    <x:row r="304">
      <x:c r="A304" s="21" t="str">
        <x:v>QE03-R01-D083</x:v>
      </x:c>
      <x:c r="B304" s="21" t="str">
        <x:v>QE03-R01</x:v>
      </x:c>
      <x:c r="C304" s="21" t="n">
        <x:v>83</x:v>
      </x:c>
      <x:c r="D304" s="21" t="str">
        <x:v>safeing proofs</x:v>
      </x:c>
      <x:c r="E304" s="21" t="n">
        <x:v>12</x:v>
      </x:c>
      <x:c r="F304" s="21" t="str">
        <x:v>OPEN</x:v>
      </x:c>
      <x:c r="G304" s="21" t="str"/>
      <x:c r="H304" s="21" t="str"/>
    </x:row>
    <x:row r="305">
      <x:c r="A305" s="21" t="str">
        <x:v>QE03-R01-D084</x:v>
      </x:c>
      <x:c r="B305" s="21" t="str">
        <x:v>QE03-R01</x:v>
      </x:c>
      <x:c r="C305" s="21" t="n">
        <x:v>84</x:v>
      </x:c>
      <x:c r="D305" s="21" t="str">
        <x:v>safeing proofs</x:v>
      </x:c>
      <x:c r="E305" s="21" t="n">
        <x:v>13</x:v>
      </x:c>
      <x:c r="F305" s="21" t="str">
        <x:v>OPEN</x:v>
      </x:c>
      <x:c r="G305" s="21" t="str"/>
      <x:c r="H305" s="21" t="str"/>
    </x:row>
    <x:row r="306">
      <x:c r="A306" s="21" t="str">
        <x:v>QE03-R01-D085</x:v>
      </x:c>
      <x:c r="B306" s="21" t="str">
        <x:v>QE03-R01</x:v>
      </x:c>
      <x:c r="C306" s="21" t="n">
        <x:v>85</x:v>
      </x:c>
      <x:c r="D306" s="21" t="str">
        <x:v>safeing proofs</x:v>
      </x:c>
      <x:c r="E306" s="21" t="n">
        <x:v>14</x:v>
      </x:c>
      <x:c r="F306" s="21" t="str">
        <x:v>OPEN</x:v>
      </x:c>
      <x:c r="G306" s="21" t="str"/>
      <x:c r="H306" s="21" t="str"/>
    </x:row>
    <x:row r="307">
      <x:c r="A307" s="21" t="str">
        <x:v>QE03-R01-D086</x:v>
      </x:c>
      <x:c r="B307" s="21" t="str">
        <x:v>QE03-R01</x:v>
      </x:c>
      <x:c r="C307" s="21" t="n">
        <x:v>86</x:v>
      </x:c>
      <x:c r="D307" s="21" t="str">
        <x:v>safeing proofs</x:v>
      </x:c>
      <x:c r="E307" s="21" t="n">
        <x:v>15</x:v>
      </x:c>
      <x:c r="F307" s="21" t="str">
        <x:v>OPEN</x:v>
      </x:c>
      <x:c r="G307" s="21" t="str"/>
      <x:c r="H307" s="21" t="str"/>
    </x:row>
    <x:row r="308">
      <x:c r="A308" s="21" t="str">
        <x:v>QE03-R01-D087</x:v>
      </x:c>
      <x:c r="B308" s="21" t="str">
        <x:v>QE03-R01</x:v>
      </x:c>
      <x:c r="C308" s="21" t="n">
        <x:v>87</x:v>
      </x:c>
      <x:c r="D308" s="21" t="str">
        <x:v>safeing proofs</x:v>
      </x:c>
      <x:c r="E308" s="21" t="n">
        <x:v>16</x:v>
      </x:c>
      <x:c r="F308" s="21" t="str">
        <x:v>OPEN</x:v>
      </x:c>
      <x:c r="G308" s="21" t="str"/>
      <x:c r="H308" s="21" t="str"/>
    </x:row>
    <x:row r="309">
      <x:c r="A309" s="21" t="str">
        <x:v>QE03-R01-D088</x:v>
      </x:c>
      <x:c r="B309" s="21" t="str">
        <x:v>QE03-R01</x:v>
      </x:c>
      <x:c r="C309" s="21" t="n">
        <x:v>88</x:v>
      </x:c>
      <x:c r="D309" s="21" t="str">
        <x:v>safeing proofs</x:v>
      </x:c>
      <x:c r="E309" s="21" t="n">
        <x:v>17</x:v>
      </x:c>
      <x:c r="F309" s="21" t="str">
        <x:v>OPEN</x:v>
      </x:c>
      <x:c r="G309" s="21" t="str"/>
      <x:c r="H309" s="21" t="str"/>
    </x:row>
    <x:row r="310">
      <x:c r="A310" s="21" t="str">
        <x:v>QE03-R01-D089</x:v>
      </x:c>
      <x:c r="B310" s="21" t="str">
        <x:v>QE03-R01</x:v>
      </x:c>
      <x:c r="C310" s="21" t="n">
        <x:v>89</x:v>
      </x:c>
      <x:c r="D310" s="21" t="str">
        <x:v>safeing proofs</x:v>
      </x:c>
      <x:c r="E310" s="21" t="n">
        <x:v>18</x:v>
      </x:c>
      <x:c r="F310" s="21" t="str">
        <x:v>OPEN</x:v>
      </x:c>
      <x:c r="G310" s="21" t="str"/>
      <x:c r="H310" s="21" t="str"/>
    </x:row>
    <x:row r="311">
      <x:c r="A311" s="21" t="str">
        <x:v>QE03-R01-D090</x:v>
      </x:c>
      <x:c r="B311" s="21" t="str">
        <x:v>QE03-R01</x:v>
      </x:c>
      <x:c r="C311" s="21" t="n">
        <x:v>90</x:v>
      </x:c>
      <x:c r="D311" s="21" t="str">
        <x:v>safeing proofs</x:v>
      </x:c>
      <x:c r="E311" s="21" t="n">
        <x:v>19</x:v>
      </x:c>
      <x:c r="F311" s="21" t="str">
        <x:v>OPEN</x:v>
      </x:c>
      <x:c r="G311" s="21" t="str"/>
      <x:c r="H311" s="21" t="str"/>
    </x:row>
    <x:row r="312">
      <x:c r="A312" s="21" t="str">
        <x:v>QE03-R01-D091</x:v>
      </x:c>
      <x:c r="B312" s="21" t="str">
        <x:v>QE03-R01</x:v>
      </x:c>
      <x:c r="C312" s="21" t="n">
        <x:v>91</x:v>
      </x:c>
      <x:c r="D312" s="21" t="str">
        <x:v>safeing proofs</x:v>
      </x:c>
      <x:c r="E312" s="21" t="n">
        <x:v>20</x:v>
      </x:c>
      <x:c r="F312" s="21" t="str">
        <x:v>OPEN</x:v>
      </x:c>
      <x:c r="G312" s="21" t="str"/>
      <x:c r="H312" s="21" t="str"/>
    </x:row>
    <x:row r="313">
      <x:c r="A313" s="21" t="str">
        <x:v>QE03-R01-D092</x:v>
      </x:c>
      <x:c r="B313" s="21" t="str">
        <x:v>QE03-R01</x:v>
      </x:c>
      <x:c r="C313" s="21" t="n">
        <x:v>92</x:v>
      </x:c>
      <x:c r="D313" s="21" t="str">
        <x:v>safeing proofs</x:v>
      </x:c>
      <x:c r="E313" s="21" t="n">
        <x:v>21</x:v>
      </x:c>
      <x:c r="F313" s="21" t="str">
        <x:v>OPEN</x:v>
      </x:c>
      <x:c r="G313" s="21" t="str"/>
      <x:c r="H313" s="21" t="str"/>
    </x:row>
    <x:row r="314">
      <x:c r="A314" s="21" t="str">
        <x:v>QE03-R01-D093</x:v>
      </x:c>
      <x:c r="B314" s="21" t="str">
        <x:v>QE03-R01</x:v>
      </x:c>
      <x:c r="C314" s="21" t="n">
        <x:v>93</x:v>
      </x:c>
      <x:c r="D314" s="21" t="str">
        <x:v>safeing proofs</x:v>
      </x:c>
      <x:c r="E314" s="21" t="n">
        <x:v>22</x:v>
      </x:c>
      <x:c r="F314" s="21" t="str">
        <x:v>OPEN</x:v>
      </x:c>
      <x:c r="G314" s="21" t="str"/>
      <x:c r="H314" s="21" t="str"/>
    </x:row>
    <x:row r="315">
      <x:c r="A315" s="21" t="str">
        <x:v>QE03-R01-D094</x:v>
      </x:c>
      <x:c r="B315" s="21" t="str">
        <x:v>QE03-R01</x:v>
      </x:c>
      <x:c r="C315" s="21" t="n">
        <x:v>94</x:v>
      </x:c>
      <x:c r="D315" s="21" t="str">
        <x:v>safeing proofs</x:v>
      </x:c>
      <x:c r="E315" s="21" t="n">
        <x:v>23</x:v>
      </x:c>
      <x:c r="F315" s="21" t="str">
        <x:v>OPEN</x:v>
      </x:c>
      <x:c r="G315" s="21" t="str"/>
      <x:c r="H315" s="21" t="str"/>
    </x:row>
    <x:row r="316">
      <x:c r="A316" s="21" t="str">
        <x:v>QE03-R01-D095</x:v>
      </x:c>
      <x:c r="B316" s="21" t="str">
        <x:v>QE03-R01</x:v>
      </x:c>
      <x:c r="C316" s="21" t="n">
        <x:v>95</x:v>
      </x:c>
      <x:c r="D316" s="21" t="str">
        <x:v>safeing proofs</x:v>
      </x:c>
      <x:c r="E316" s="21" t="n">
        <x:v>24</x:v>
      </x:c>
      <x:c r="F316" s="21" t="str">
        <x:v>OPEN</x:v>
      </x:c>
      <x:c r="G316" s="21" t="str"/>
      <x:c r="H316" s="21" t="str"/>
    </x:row>
    <x:row r="317">
      <x:c r="A317" s="21" t="str">
        <x:v>QE03-R01-D096</x:v>
      </x:c>
      <x:c r="B317" s="21" t="str">
        <x:v>QE03-R01</x:v>
      </x:c>
      <x:c r="C317" s="21" t="n">
        <x:v>96</x:v>
      </x:c>
      <x:c r="D317" s="21" t="str">
        <x:v>safeing proofs</x:v>
      </x:c>
      <x:c r="E317" s="21" t="n">
        <x:v>25</x:v>
      </x:c>
      <x:c r="F317" s="21" t="str">
        <x:v>OPEN</x:v>
      </x:c>
      <x:c r="G317" s="21" t="str"/>
      <x:c r="H317" s="21" t="str"/>
    </x:row>
    <x:row r="318">
      <x:c r="A318" s="21" t="str">
        <x:v>QE03-R01-D097</x:v>
      </x:c>
      <x:c r="B318" s="21" t="str">
        <x:v>QE03-R01</x:v>
      </x:c>
      <x:c r="C318" s="21" t="n">
        <x:v>97</x:v>
      </x:c>
      <x:c r="D318" s="21" t="str">
        <x:v>safeing proofs</x:v>
      </x:c>
      <x:c r="E318" s="21" t="n">
        <x:v>26</x:v>
      </x:c>
      <x:c r="F318" s="21" t="str">
        <x:v>OPEN</x:v>
      </x:c>
      <x:c r="G318" s="21" t="str"/>
      <x:c r="H318" s="21" t="str"/>
    </x:row>
    <x:row r="319">
      <x:c r="A319" s="21" t="str">
        <x:v>QE03-R01-D098</x:v>
      </x:c>
      <x:c r="B319" s="21" t="str">
        <x:v>QE03-R01</x:v>
      </x:c>
      <x:c r="C319" s="21" t="n">
        <x:v>98</x:v>
      </x:c>
      <x:c r="D319" s="21" t="str">
        <x:v>safeing proofs</x:v>
      </x:c>
      <x:c r="E319" s="21" t="n">
        <x:v>27</x:v>
      </x:c>
      <x:c r="F319" s="21" t="str">
        <x:v>OPEN</x:v>
      </x:c>
      <x:c r="G319" s="21" t="str"/>
      <x:c r="H319" s="21" t="str"/>
    </x:row>
    <x:row r="320">
      <x:c r="A320" s="21" t="str">
        <x:v>QE03-R01-D099</x:v>
      </x:c>
      <x:c r="B320" s="21" t="str">
        <x:v>QE03-R01</x:v>
      </x:c>
      <x:c r="C320" s="21" t="n">
        <x:v>99</x:v>
      </x:c>
      <x:c r="D320" s="21" t="str">
        <x:v>safeing proofs</x:v>
      </x:c>
      <x:c r="E320" s="21" t="n">
        <x:v>28</x:v>
      </x:c>
      <x:c r="F320" s="21" t="str">
        <x:v>OPEN</x:v>
      </x:c>
      <x:c r="G320" s="21" t="str"/>
      <x:c r="H320" s="21" t="str"/>
    </x:row>
    <x:row r="321">
      <x:c r="A321" s="21" t="str">
        <x:v>QE03-R01-D100</x:v>
      </x:c>
      <x:c r="B321" s="21" t="str">
        <x:v>QE03-R01</x:v>
      </x:c>
      <x:c r="C321" s="21" t="n">
        <x:v>100</x:v>
      </x:c>
      <x:c r="D321" s="21" t="str">
        <x:v>safeing proofs</x:v>
      </x:c>
      <x:c r="E321" s="21" t="n">
        <x:v>29</x:v>
      </x:c>
      <x:c r="F321" s="21" t="str">
        <x:v>OPEN</x:v>
      </x:c>
      <x:c r="G321" s="21" t="str"/>
      <x:c r="H321" s="21" t="str"/>
    </x:row>
    <x:row r="322">
      <x:c r="A322" s="21" t="str">
        <x:v>QE03-R01-D101</x:v>
      </x:c>
      <x:c r="B322" s="21" t="str">
        <x:v>QE03-R01</x:v>
      </x:c>
      <x:c r="C322" s="21" t="n">
        <x:v>101</x:v>
      </x:c>
      <x:c r="D322" s="21" t="str">
        <x:v>safeing proofs</x:v>
      </x:c>
      <x:c r="E322" s="21" t="n">
        <x:v>30</x:v>
      </x:c>
      <x:c r="F322" s="21" t="str">
        <x:v>OPEN</x:v>
      </x:c>
      <x:c r="G322" s="21" t="str"/>
      <x:c r="H322" s="21" t="str"/>
    </x:row>
    <x:row r="323">
      <x:c r="A323" s="21" t="str">
        <x:v>QE03-R01-D102</x:v>
      </x:c>
      <x:c r="B323" s="21" t="str">
        <x:v>QE03-R01</x:v>
      </x:c>
      <x:c r="C323" s="21" t="n">
        <x:v>102</x:v>
      </x:c>
      <x:c r="D323" s="21" t="str">
        <x:v>safeing proofs</x:v>
      </x:c>
      <x:c r="E323" s="21" t="n">
        <x:v>31</x:v>
      </x:c>
      <x:c r="F323" s="21" t="str">
        <x:v>OPEN</x:v>
      </x:c>
      <x:c r="G323" s="21" t="str"/>
      <x:c r="H323" s="21" t="str"/>
    </x:row>
    <x:row r="324">
      <x:c r="A324" s="21" t="str">
        <x:v>QE03-R01-D103</x:v>
      </x:c>
      <x:c r="B324" s="21" t="str">
        <x:v>QE03-R01</x:v>
      </x:c>
      <x:c r="C324" s="21" t="n">
        <x:v>103</x:v>
      </x:c>
      <x:c r="D324" s="21" t="str">
        <x:v>safeing proofs</x:v>
      </x:c>
      <x:c r="E324" s="21" t="n">
        <x:v>32</x:v>
      </x:c>
      <x:c r="F324" s="21" t="str">
        <x:v>OPEN</x:v>
      </x:c>
      <x:c r="G324" s="21" t="str"/>
      <x:c r="H324" s="21" t="str"/>
    </x:row>
    <x:row r="325">
      <x:c r="A325" s="21" t="str">
        <x:v>QE03-R01-D104</x:v>
      </x:c>
      <x:c r="B325" s="21" t="str">
        <x:v>QE03-R01</x:v>
      </x:c>
      <x:c r="C325" s="21" t="n">
        <x:v>104</x:v>
      </x:c>
      <x:c r="D325" s="21" t="str">
        <x:v>safeing proofs</x:v>
      </x:c>
      <x:c r="E325" s="21" t="n">
        <x:v>33</x:v>
      </x:c>
      <x:c r="F325" s="21" t="str">
        <x:v>OPEN</x:v>
      </x:c>
      <x:c r="G325" s="21" t="str"/>
      <x:c r="H325" s="21" t="str"/>
    </x:row>
    <x:row r="326">
      <x:c r="A326" s="21" t="str">
        <x:v>QE03-R01-D105</x:v>
      </x:c>
      <x:c r="B326" s="21" t="str">
        <x:v>QE03-R01</x:v>
      </x:c>
      <x:c r="C326" s="21" t="n">
        <x:v>105</x:v>
      </x:c>
      <x:c r="D326" s="21" t="str">
        <x:v>safeing proofs</x:v>
      </x:c>
      <x:c r="E326" s="21" t="n">
        <x:v>34</x:v>
      </x:c>
      <x:c r="F326" s="21" t="str">
        <x:v>OPEN</x:v>
      </x:c>
      <x:c r="G326" s="21" t="str"/>
      <x:c r="H326" s="21" t="str"/>
    </x:row>
    <x:row r="327">
      <x:c r="A327" s="21" t="str">
        <x:v>QE03-R01-D106</x:v>
      </x:c>
      <x:c r="B327" s="21" t="str">
        <x:v>QE03-R01</x:v>
      </x:c>
      <x:c r="C327" s="21" t="n">
        <x:v>106</x:v>
      </x:c>
      <x:c r="D327" s="21" t="str">
        <x:v>safeing proofs</x:v>
      </x:c>
      <x:c r="E327" s="21" t="n">
        <x:v>35</x:v>
      </x:c>
      <x:c r="F327" s="21" t="str">
        <x:v>OPEN</x:v>
      </x:c>
      <x:c r="G327" s="21" t="str"/>
      <x:c r="H327" s="21" t="str"/>
    </x:row>
    <x:row r="328">
      <x:c r="A328" s="21" t="str">
        <x:v>QE03-R01-D107</x:v>
      </x:c>
      <x:c r="B328" s="21" t="str">
        <x:v>QE03-R01</x:v>
      </x:c>
      <x:c r="C328" s="21" t="n">
        <x:v>107</x:v>
      </x:c>
      <x:c r="D328" s="21" t="str">
        <x:v>safeing proofs</x:v>
      </x:c>
      <x:c r="E328" s="21" t="n">
        <x:v>36</x:v>
      </x:c>
      <x:c r="F328" s="21" t="str">
        <x:v>OPEN</x:v>
      </x:c>
      <x:c r="G328" s="21" t="str"/>
      <x:c r="H328" s="21" t="str"/>
    </x:row>
    <x:row r="329">
      <x:c r="A329" s="21" t="str">
        <x:v>QE03-R01-D108</x:v>
      </x:c>
      <x:c r="B329" s="21" t="str">
        <x:v>QE03-R01</x:v>
      </x:c>
      <x:c r="C329" s="21" t="n">
        <x:v>108</x:v>
      </x:c>
      <x:c r="D329" s="21" t="str">
        <x:v>walkdowns</x:v>
      </x:c>
      <x:c r="E329" s="21" t="n">
        <x:v>1</x:v>
      </x:c>
      <x:c r="F329" s="21" t="str">
        <x:v>OPEN</x:v>
      </x:c>
      <x:c r="G329" s="21" t="str"/>
      <x:c r="H329" s="21" t="str"/>
    </x:row>
    <x:row r="330">
      <x:c r="A330" s="21" t="str">
        <x:v>QE03-R01-D109</x:v>
      </x:c>
      <x:c r="B330" s="21" t="str">
        <x:v>QE03-R01</x:v>
      </x:c>
      <x:c r="C330" s="21" t="n">
        <x:v>109</x:v>
      </x:c>
      <x:c r="D330" s="21" t="str">
        <x:v>walkdowns</x:v>
      </x:c>
      <x:c r="E330" s="21" t="n">
        <x:v>2</x:v>
      </x:c>
      <x:c r="F330" s="21" t="str">
        <x:v>OPEN</x:v>
      </x:c>
      <x:c r="G330" s="21" t="str"/>
      <x:c r="H330" s="21" t="str"/>
    </x:row>
    <x:row r="331">
      <x:c r="A331" s="21" t="str">
        <x:v>QE03-R01-D110</x:v>
      </x:c>
      <x:c r="B331" s="21" t="str">
        <x:v>QE03-R01</x:v>
      </x:c>
      <x:c r="C331" s="21" t="n">
        <x:v>110</x:v>
      </x:c>
      <x:c r="D331" s="21" t="str">
        <x:v>walkdowns</x:v>
      </x:c>
      <x:c r="E331" s="21" t="n">
        <x:v>3</x:v>
      </x:c>
      <x:c r="F331" s="21" t="str">
        <x:v>OPEN</x:v>
      </x:c>
      <x:c r="G331" s="21" t="str"/>
      <x:c r="H331" s="21" t="str"/>
    </x:row>
    <x:row r="332">
      <x:c r="A332" s="21" t="str">
        <x:v>QE03-R01-D111</x:v>
      </x:c>
      <x:c r="B332" s="21" t="str">
        <x:v>QE03-R01</x:v>
      </x:c>
      <x:c r="C332" s="21" t="n">
        <x:v>111</x:v>
      </x:c>
      <x:c r="D332" s="21" t="str">
        <x:v>walkdowns</x:v>
      </x:c>
      <x:c r="E332" s="21" t="n">
        <x:v>4</x:v>
      </x:c>
      <x:c r="F332" s="21" t="str">
        <x:v>OPEN</x:v>
      </x:c>
      <x:c r="G332" s="21" t="str"/>
      <x:c r="H332" s="21" t="str"/>
    </x:row>
    <x:row r="333">
      <x:c r="A333" s="21" t="str">
        <x:v>QE03-R01-D112</x:v>
      </x:c>
      <x:c r="B333" s="21" t="str">
        <x:v>QE03-R01</x:v>
      </x:c>
      <x:c r="C333" s="21" t="n">
        <x:v>112</x:v>
      </x:c>
      <x:c r="D333" s="21" t="str">
        <x:v>walkdowns</x:v>
      </x:c>
      <x:c r="E333" s="21" t="n">
        <x:v>5</x:v>
      </x:c>
      <x:c r="F333" s="21" t="str">
        <x:v>OPEN</x:v>
      </x:c>
      <x:c r="G333" s="21" t="str"/>
      <x:c r="H333" s="21" t="str"/>
    </x:row>
    <x:row r="334">
      <x:c r="A334" s="21" t="str">
        <x:v>QE03-R01-D113</x:v>
      </x:c>
      <x:c r="B334" s="21" t="str">
        <x:v>QE03-R01</x:v>
      </x:c>
      <x:c r="C334" s="21" t="n">
        <x:v>113</x:v>
      </x:c>
      <x:c r="D334" s="21" t="str">
        <x:v>walkdowns</x:v>
      </x:c>
      <x:c r="E334" s="21" t="n">
        <x:v>6</x:v>
      </x:c>
      <x:c r="F334" s="21" t="str">
        <x:v>OPEN</x:v>
      </x:c>
      <x:c r="G334" s="21" t="str"/>
      <x:c r="H334" s="21" t="str"/>
    </x:row>
    <x:row r="335">
      <x:c r="A335" s="21" t="str">
        <x:v>QE03-R01-D114</x:v>
      </x:c>
      <x:c r="B335" s="21" t="str">
        <x:v>QE03-R01</x:v>
      </x:c>
      <x:c r="C335" s="21" t="n">
        <x:v>114</x:v>
      </x:c>
      <x:c r="D335" s="21" t="str">
        <x:v>walkdowns</x:v>
      </x:c>
      <x:c r="E335" s="21" t="n">
        <x:v>7</x:v>
      </x:c>
      <x:c r="F335" s="21" t="str">
        <x:v>OPEN</x:v>
      </x:c>
      <x:c r="G335" s="21" t="str"/>
      <x:c r="H335" s="21" t="str"/>
    </x:row>
    <x:row r="336">
      <x:c r="A336" s="21" t="str">
        <x:v>QE03-R01-D115</x:v>
      </x:c>
      <x:c r="B336" s="21" t="str">
        <x:v>QE03-R01</x:v>
      </x:c>
      <x:c r="C336" s="21" t="n">
        <x:v>115</x:v>
      </x:c>
      <x:c r="D336" s="21" t="str">
        <x:v>walkdowns</x:v>
      </x:c>
      <x:c r="E336" s="21" t="n">
        <x:v>8</x:v>
      </x:c>
      <x:c r="F336" s="21" t="str">
        <x:v>OPEN</x:v>
      </x:c>
      <x:c r="G336" s="21" t="str"/>
      <x:c r="H336" s="21" t="str"/>
    </x:row>
    <x:row r="337">
      <x:c r="A337" s="21" t="str">
        <x:v>QE03-R01-D116</x:v>
      </x:c>
      <x:c r="B337" s="21" t="str">
        <x:v>QE03-R01</x:v>
      </x:c>
      <x:c r="C337" s="21" t="n">
        <x:v>116</x:v>
      </x:c>
      <x:c r="D337" s="21" t="str">
        <x:v>walkdowns</x:v>
      </x:c>
      <x:c r="E337" s="21" t="n">
        <x:v>9</x:v>
      </x:c>
      <x:c r="F337" s="21" t="str">
        <x:v>OPEN</x:v>
      </x:c>
      <x:c r="G337" s="21" t="str"/>
      <x:c r="H337" s="21" t="str"/>
    </x:row>
    <x:row r="338">
      <x:c r="A338" s="21" t="str">
        <x:v>QE03-R01-D117</x:v>
      </x:c>
      <x:c r="B338" s="21" t="str">
        <x:v>QE03-R01</x:v>
      </x:c>
      <x:c r="C338" s="21" t="n">
        <x:v>117</x:v>
      </x:c>
      <x:c r="D338" s="21" t="str">
        <x:v>walkdowns</x:v>
      </x:c>
      <x:c r="E338" s="21" t="n">
        <x:v>10</x:v>
      </x:c>
      <x:c r="F338" s="21" t="str">
        <x:v>OPEN</x:v>
      </x:c>
      <x:c r="G338" s="21" t="str"/>
      <x:c r="H338" s="21" t="str"/>
    </x:row>
    <x:row r="339">
      <x:c r="A339" s="21" t="str">
        <x:v>QE03-R01-D118</x:v>
      </x:c>
      <x:c r="B339" s="21" t="str">
        <x:v>QE03-R01</x:v>
      </x:c>
      <x:c r="C339" s="21" t="n">
        <x:v>118</x:v>
      </x:c>
      <x:c r="D339" s="21" t="str">
        <x:v>walkdowns</x:v>
      </x:c>
      <x:c r="E339" s="21" t="n">
        <x:v>11</x:v>
      </x:c>
      <x:c r="F339" s="21" t="str">
        <x:v>OPEN</x:v>
      </x:c>
      <x:c r="G339" s="21" t="str"/>
      <x:c r="H339" s="21" t="str"/>
    </x:row>
    <x:row r="340">
      <x:c r="A340" s="21" t="str">
        <x:v>QE03-R01-D119</x:v>
      </x:c>
      <x:c r="B340" s="21" t="str">
        <x:v>QE03-R01</x:v>
      </x:c>
      <x:c r="C340" s="21" t="n">
        <x:v>119</x:v>
      </x:c>
      <x:c r="D340" s="21" t="str">
        <x:v>walkdowns</x:v>
      </x:c>
      <x:c r="E340" s="21" t="n">
        <x:v>12</x:v>
      </x:c>
      <x:c r="F340" s="21" t="str">
        <x:v>OPEN</x:v>
      </x:c>
      <x:c r="G340" s="21" t="str"/>
      <x:c r="H340" s="21" t="str"/>
    </x:row>
    <x:row r="341">
      <x:c r="A341" s="21" t="str">
        <x:v>QE03-R01-D120</x:v>
      </x:c>
      <x:c r="B341" s="21" t="str">
        <x:v>QE03-R01</x:v>
      </x:c>
      <x:c r="C341" s="21" t="n">
        <x:v>120</x:v>
      </x:c>
      <x:c r="D341" s="21" t="str">
        <x:v>walkdowns</x:v>
      </x:c>
      <x:c r="E341" s="21" t="n">
        <x:v>13</x:v>
      </x:c>
      <x:c r="F341" s="21" t="str">
        <x:v>OPEN</x:v>
      </x:c>
      <x:c r="G341" s="21" t="str"/>
      <x:c r="H341" s="21" t="str"/>
    </x:row>
    <x:row r="342">
      <x:c r="A342" s="21" t="str">
        <x:v>QE03-R01-D121</x:v>
      </x:c>
      <x:c r="B342" s="21" t="str">
        <x:v>QE03-R01</x:v>
      </x:c>
      <x:c r="C342" s="21" t="n">
        <x:v>121</x:v>
      </x:c>
      <x:c r="D342" s="21" t="str">
        <x:v>walkdowns</x:v>
      </x:c>
      <x:c r="E342" s="21" t="n">
        <x:v>14</x:v>
      </x:c>
      <x:c r="F342" s="21" t="str">
        <x:v>OPEN</x:v>
      </x:c>
      <x:c r="G342" s="21" t="str"/>
      <x:c r="H342" s="21" t="str"/>
    </x:row>
    <x:row r="343">
      <x:c r="A343" s="21" t="str">
        <x:v>QE03-R01-D122</x:v>
      </x:c>
      <x:c r="B343" s="21" t="str">
        <x:v>QE03-R01</x:v>
      </x:c>
      <x:c r="C343" s="21" t="n">
        <x:v>122</x:v>
      </x:c>
      <x:c r="D343" s="21" t="str">
        <x:v>walkdowns</x:v>
      </x:c>
      <x:c r="E343" s="21" t="n">
        <x:v>15</x:v>
      </x:c>
      <x:c r="F343" s="21" t="str">
        <x:v>OPEN</x:v>
      </x:c>
      <x:c r="G343" s="21" t="str"/>
      <x:c r="H343" s="21" t="str"/>
    </x:row>
    <x:row r="344">
      <x:c r="A344" s="21" t="str">
        <x:v>QE03-R01-D123</x:v>
      </x:c>
      <x:c r="B344" s="21" t="str">
        <x:v>QE03-R01</x:v>
      </x:c>
      <x:c r="C344" s="21" t="n">
        <x:v>123</x:v>
      </x:c>
      <x:c r="D344" s="21" t="str">
        <x:v>walkdowns</x:v>
      </x:c>
      <x:c r="E344" s="21" t="n">
        <x:v>16</x:v>
      </x:c>
      <x:c r="F344" s="21" t="str">
        <x:v>OPEN</x:v>
      </x:c>
      <x:c r="G344" s="21" t="str"/>
      <x:c r="H344" s="21" t="str"/>
    </x:row>
    <x:row r="345">
      <x:c r="A345" s="21" t="str">
        <x:v>QE03-R01-D124</x:v>
      </x:c>
      <x:c r="B345" s="21" t="str">
        <x:v>QE03-R01</x:v>
      </x:c>
      <x:c r="C345" s="21" t="n">
        <x:v>124</x:v>
      </x:c>
      <x:c r="D345" s="21" t="str">
        <x:v>walkdowns</x:v>
      </x:c>
      <x:c r="E345" s="21" t="n">
        <x:v>17</x:v>
      </x:c>
      <x:c r="F345" s="21" t="str">
        <x:v>OPEN</x:v>
      </x:c>
      <x:c r="G345" s="21" t="str"/>
      <x:c r="H345" s="21" t="str"/>
    </x:row>
    <x:row r="346">
      <x:c r="A346" s="21" t="str">
        <x:v>QE03-R01-D125</x:v>
      </x:c>
      <x:c r="B346" s="21" t="str">
        <x:v>QE03-R01</x:v>
      </x:c>
      <x:c r="C346" s="21" t="n">
        <x:v>125</x:v>
      </x:c>
      <x:c r="D346" s="21" t="str">
        <x:v>walkdowns</x:v>
      </x:c>
      <x:c r="E346" s="21" t="n">
        <x:v>18</x:v>
      </x:c>
      <x:c r="F346" s="21" t="str">
        <x:v>OPEN</x:v>
      </x:c>
      <x:c r="G346" s="21" t="str"/>
      <x:c r="H346" s="21" t="str"/>
    </x:row>
    <x:row r="347">
      <x:c r="A347" s="21" t="str">
        <x:v>QE03-R01-D126</x:v>
      </x:c>
      <x:c r="B347" s="21" t="str">
        <x:v>QE03-R01</x:v>
      </x:c>
      <x:c r="C347" s="21" t="n">
        <x:v>126</x:v>
      </x:c>
      <x:c r="D347" s="21" t="str">
        <x:v>walkdowns</x:v>
      </x:c>
      <x:c r="E347" s="21" t="n">
        <x:v>19</x:v>
      </x:c>
      <x:c r="F347" s="21" t="str">
        <x:v>OPEN</x:v>
      </x:c>
      <x:c r="G347" s="21" t="str"/>
      <x:c r="H347" s="21" t="str"/>
    </x:row>
    <x:row r="348">
      <x:c r="A348" s="21" t="str">
        <x:v>QE03-R01-D127</x:v>
      </x:c>
      <x:c r="B348" s="21" t="str">
        <x:v>QE03-R01</x:v>
      </x:c>
      <x:c r="C348" s="21" t="n">
        <x:v>127</x:v>
      </x:c>
      <x:c r="D348" s="21" t="str">
        <x:v>walkdowns</x:v>
      </x:c>
      <x:c r="E348" s="21" t="n">
        <x:v>20</x:v>
      </x:c>
      <x:c r="F348" s="21" t="str">
        <x:v>OPEN</x:v>
      </x:c>
      <x:c r="G348" s="21" t="str"/>
      <x:c r="H348" s="21" t="str"/>
    </x:row>
    <x:row r="349">
      <x:c r="A349" s="21" t="str">
        <x:v>QE03-R01-D128</x:v>
      </x:c>
      <x:c r="B349" s="21" t="str">
        <x:v>QE03-R01</x:v>
      </x:c>
      <x:c r="C349" s="21" t="n">
        <x:v>128</x:v>
      </x:c>
      <x:c r="D349" s="21" t="str">
        <x:v>walkdowns</x:v>
      </x:c>
      <x:c r="E349" s="21" t="n">
        <x:v>21</x:v>
      </x:c>
      <x:c r="F349" s="21" t="str">
        <x:v>OPEN</x:v>
      </x:c>
      <x:c r="G349" s="21" t="str"/>
      <x:c r="H349" s="21" t="str"/>
    </x:row>
    <x:row r="350">
      <x:c r="A350" s="21" t="str">
        <x:v>QE03-R01-D129</x:v>
      </x:c>
      <x:c r="B350" s="21" t="str">
        <x:v>QE03-R01</x:v>
      </x:c>
      <x:c r="C350" s="21" t="n">
        <x:v>129</x:v>
      </x:c>
      <x:c r="D350" s="21" t="str">
        <x:v>walkdowns</x:v>
      </x:c>
      <x:c r="E350" s="21" t="n">
        <x:v>22</x:v>
      </x:c>
      <x:c r="F350" s="21" t="str">
        <x:v>OPEN</x:v>
      </x:c>
      <x:c r="G350" s="21" t="str"/>
      <x:c r="H350" s="21" t="str"/>
    </x:row>
    <x:row r="351">
      <x:c r="A351" s="21" t="str">
        <x:v>QE03-R01-D130</x:v>
      </x:c>
      <x:c r="B351" s="21" t="str">
        <x:v>QE03-R01</x:v>
      </x:c>
      <x:c r="C351" s="21" t="n">
        <x:v>130</x:v>
      </x:c>
      <x:c r="D351" s="21" t="str">
        <x:v>walkdowns</x:v>
      </x:c>
      <x:c r="E351" s="21" t="n">
        <x:v>23</x:v>
      </x:c>
      <x:c r="F351" s="21" t="str">
        <x:v>OPEN</x:v>
      </x:c>
      <x:c r="G351" s="21" t="str"/>
      <x:c r="H351" s="21" t="str"/>
    </x:row>
    <x:row r="352">
      <x:c r="A352" s="21" t="str">
        <x:v>QE03-R01-D131</x:v>
      </x:c>
      <x:c r="B352" s="21" t="str">
        <x:v>QE03-R01</x:v>
      </x:c>
      <x:c r="C352" s="21" t="n">
        <x:v>131</x:v>
      </x:c>
      <x:c r="D352" s="21" t="str">
        <x:v>walkdowns</x:v>
      </x:c>
      <x:c r="E352" s="21" t="n">
        <x:v>24</x:v>
      </x:c>
      <x:c r="F352" s="21" t="str">
        <x:v>OPEN</x:v>
      </x:c>
      <x:c r="G352" s="21" t="str"/>
      <x:c r="H352" s="21" t="str"/>
    </x:row>
    <x:row r="353">
      <x:c r="A353" s="21" t="str">
        <x:v>QE03-R01-D132</x:v>
      </x:c>
      <x:c r="B353" s="21" t="str">
        <x:v>QE03-R01</x:v>
      </x:c>
      <x:c r="C353" s="21" t="n">
        <x:v>132</x:v>
      </x:c>
      <x:c r="D353" s="21" t="str">
        <x:v>walkdowns</x:v>
      </x:c>
      <x:c r="E353" s="21" t="n">
        <x:v>25</x:v>
      </x:c>
      <x:c r="F353" s="21" t="str">
        <x:v>OPEN</x:v>
      </x:c>
      <x:c r="G353" s="21" t="str"/>
      <x:c r="H353" s="21" t="str"/>
    </x:row>
    <x:row r="354">
      <x:c r="A354" s="21" t="str">
        <x:v>QE03-R01-D133</x:v>
      </x:c>
      <x:c r="B354" s="21" t="str">
        <x:v>QE03-R01</x:v>
      </x:c>
      <x:c r="C354" s="21" t="n">
        <x:v>133</x:v>
      </x:c>
      <x:c r="D354" s="21" t="str">
        <x:v>walkdowns</x:v>
      </x:c>
      <x:c r="E354" s="21" t="n">
        <x:v>26</x:v>
      </x:c>
      <x:c r="F354" s="21" t="str">
        <x:v>OPEN</x:v>
      </x:c>
      <x:c r="G354" s="21" t="str"/>
      <x:c r="H354" s="21" t="str"/>
    </x:row>
    <x:row r="355">
      <x:c r="A355" s="21" t="str">
        <x:v>QE03-R01-D134</x:v>
      </x:c>
      <x:c r="B355" s="21" t="str">
        <x:v>QE03-R01</x:v>
      </x:c>
      <x:c r="C355" s="21" t="n">
        <x:v>134</x:v>
      </x:c>
      <x:c r="D355" s="21" t="str">
        <x:v>walkdowns</x:v>
      </x:c>
      <x:c r="E355" s="21" t="n">
        <x:v>27</x:v>
      </x:c>
      <x:c r="F355" s="21" t="str">
        <x:v>OPEN</x:v>
      </x:c>
      <x:c r="G355" s="21" t="str"/>
      <x:c r="H355" s="21" t="str"/>
    </x:row>
    <x:row r="356">
      <x:c r="A356" s="21" t="str">
        <x:v>QE03-R01-D135</x:v>
      </x:c>
      <x:c r="B356" s="21" t="str">
        <x:v>QE03-R01</x:v>
      </x:c>
      <x:c r="C356" s="21" t="n">
        <x:v>135</x:v>
      </x:c>
      <x:c r="D356" s="21" t="str">
        <x:v>walkdowns</x:v>
      </x:c>
      <x:c r="E356" s="21" t="n">
        <x:v>28</x:v>
      </x:c>
      <x:c r="F356" s="21" t="str">
        <x:v>OPEN</x:v>
      </x:c>
      <x:c r="G356" s="21" t="str"/>
      <x:c r="H356" s="21" t="str"/>
    </x:row>
    <x:row r="357">
      <x:c r="A357" s="21" t="str">
        <x:v>QE03-R01-D136</x:v>
      </x:c>
      <x:c r="B357" s="21" t="str">
        <x:v>QE03-R01</x:v>
      </x:c>
      <x:c r="C357" s="21" t="n">
        <x:v>136</x:v>
      </x:c>
      <x:c r="D357" s="21" t="str">
        <x:v>walkdowns</x:v>
      </x:c>
      <x:c r="E357" s="21" t="n">
        <x:v>29</x:v>
      </x:c>
      <x:c r="F357" s="21" t="str">
        <x:v>OPEN</x:v>
      </x:c>
      <x:c r="G357" s="21" t="str"/>
      <x:c r="H357" s="21" t="str"/>
    </x:row>
    <x:row r="358">
      <x:c r="A358" s="21" t="str">
        <x:v>QE03-R01-D137</x:v>
      </x:c>
      <x:c r="B358" s="21" t="str">
        <x:v>QE03-R01</x:v>
      </x:c>
      <x:c r="C358" s="21" t="n">
        <x:v>137</x:v>
      </x:c>
      <x:c r="D358" s="21" t="str">
        <x:v>walkdowns</x:v>
      </x:c>
      <x:c r="E358" s="21" t="n">
        <x:v>30</x:v>
      </x:c>
      <x:c r="F358" s="21" t="str">
        <x:v>OPEN</x:v>
      </x:c>
      <x:c r="G358" s="21" t="str"/>
      <x:c r="H358" s="21" t="str"/>
    </x:row>
    <x:row r="359">
      <x:c r="A359" s="21" t="str">
        <x:v>QE03-R01-D138</x:v>
      </x:c>
      <x:c r="B359" s="21" t="str">
        <x:v>QE03-R01</x:v>
      </x:c>
      <x:c r="C359" s="21" t="n">
        <x:v>138</x:v>
      </x:c>
      <x:c r="D359" s="21" t="str">
        <x:v>walkdowns</x:v>
      </x:c>
      <x:c r="E359" s="21" t="n">
        <x:v>31</x:v>
      </x:c>
      <x:c r="F359" s="21" t="str">
        <x:v>OPEN</x:v>
      </x:c>
      <x:c r="G359" s="21" t="str"/>
      <x:c r="H359" s="21" t="str"/>
    </x:row>
    <x:row r="360">
      <x:c r="A360" s="21" t="str">
        <x:v>QE03-R01-D139</x:v>
      </x:c>
      <x:c r="B360" s="21" t="str">
        <x:v>QE03-R01</x:v>
      </x:c>
      <x:c r="C360" s="21" t="n">
        <x:v>139</x:v>
      </x:c>
      <x:c r="D360" s="21" t="str">
        <x:v>walkdowns</x:v>
      </x:c>
      <x:c r="E360" s="21" t="n">
        <x:v>32</x:v>
      </x:c>
      <x:c r="F360" s="21" t="str">
        <x:v>OPEN</x:v>
      </x:c>
      <x:c r="G360" s="21" t="str"/>
      <x:c r="H360" s="21" t="str"/>
    </x:row>
    <x:row r="361">
      <x:c r="A361" s="21" t="str">
        <x:v>QE03-R01-D140</x:v>
      </x:c>
      <x:c r="B361" s="21" t="str">
        <x:v>QE03-R01</x:v>
      </x:c>
      <x:c r="C361" s="21" t="n">
        <x:v>140</x:v>
      </x:c>
      <x:c r="D361" s="21" t="str">
        <x:v>neighbor proofs</x:v>
      </x:c>
      <x:c r="E361" s="21" t="n">
        <x:v>1</x:v>
      </x:c>
      <x:c r="F361" s="21" t="str">
        <x:v>OPEN</x:v>
      </x:c>
      <x:c r="G361" s="21" t="str"/>
      <x:c r="H361" s="21" t="str"/>
    </x:row>
    <x:row r="362">
      <x:c r="A362" s="21" t="str">
        <x:v>QE03-R01-D141</x:v>
      </x:c>
      <x:c r="B362" s="21" t="str">
        <x:v>QE03-R01</x:v>
      </x:c>
      <x:c r="C362" s="21" t="n">
        <x:v>141</x:v>
      </x:c>
      <x:c r="D362" s="21" t="str">
        <x:v>neighbor proofs</x:v>
      </x:c>
      <x:c r="E362" s="21" t="n">
        <x:v>2</x:v>
      </x:c>
      <x:c r="F362" s="21" t="str">
        <x:v>OPEN</x:v>
      </x:c>
      <x:c r="G362" s="21" t="str"/>
      <x:c r="H362" s="21" t="str"/>
    </x:row>
    <x:row r="363">
      <x:c r="A363" s="21" t="str">
        <x:v>QE03-R01-D142</x:v>
      </x:c>
      <x:c r="B363" s="21" t="str">
        <x:v>QE03-R01</x:v>
      </x:c>
      <x:c r="C363" s="21" t="n">
        <x:v>142</x:v>
      </x:c>
      <x:c r="D363" s="21" t="str">
        <x:v>neighbor proofs</x:v>
      </x:c>
      <x:c r="E363" s="21" t="n">
        <x:v>3</x:v>
      </x:c>
      <x:c r="F363" s="21" t="str">
        <x:v>OPEN</x:v>
      </x:c>
      <x:c r="G363" s="21" t="str"/>
      <x:c r="H363" s="21" t="str"/>
    </x:row>
    <x:row r="364">
      <x:c r="A364" s="21" t="str">
        <x:v>QE03-R01-D143</x:v>
      </x:c>
      <x:c r="B364" s="21" t="str">
        <x:v>QE03-R01</x:v>
      </x:c>
      <x:c r="C364" s="21" t="n">
        <x:v>143</x:v>
      </x:c>
      <x:c r="D364" s="21" t="str">
        <x:v>event holds</x:v>
      </x:c>
      <x:c r="E364" s="21" t="n">
        <x:v>1</x:v>
      </x:c>
      <x:c r="F364" s="21" t="str">
        <x:v>OPEN</x:v>
      </x:c>
      <x:c r="G364" s="21" t="str"/>
      <x:c r="H364" s="21" t="str"/>
    </x:row>
    <x:row r="365">
      <x:c r="A365" s="21" t="str">
        <x:v>QE03-R01-D144</x:v>
      </x:c>
      <x:c r="B365" s="21" t="str">
        <x:v>QE03-R01</x:v>
      </x:c>
      <x:c r="C365" s="21" t="n">
        <x:v>144</x:v>
      </x:c>
      <x:c r="D365" s="21" t="str">
        <x:v>event holds</x:v>
      </x:c>
      <x:c r="E365" s="21" t="n">
        <x:v>2</x:v>
      </x:c>
      <x:c r="F365" s="21" t="str">
        <x:v>OPEN</x:v>
      </x:c>
      <x:c r="G365" s="21" t="str"/>
      <x:c r="H365" s="21" t="str"/>
    </x:row>
    <x:row r="366">
      <x:c r="A366" s="21" t="str">
        <x:v>QE03-R01-D145</x:v>
      </x:c>
      <x:c r="B366" s="21" t="str">
        <x:v>QE03-R01</x:v>
      </x:c>
      <x:c r="C366" s="21" t="n">
        <x:v>145</x:v>
      </x:c>
      <x:c r="D366" s="21" t="str">
        <x:v>event holds</x:v>
      </x:c>
      <x:c r="E366" s="21" t="n">
        <x:v>3</x:v>
      </x:c>
      <x:c r="F366" s="21" t="str">
        <x:v>OPEN</x:v>
      </x:c>
      <x:c r="G366" s="21" t="str"/>
      <x:c r="H366" s="21" t="str"/>
    </x:row>
    <x:row r="367">
      <x:c r="A367" s="21" t="str">
        <x:v>QE03-R01-D146</x:v>
      </x:c>
      <x:c r="B367" s="21" t="str">
        <x:v>QE03-R01</x:v>
      </x:c>
      <x:c r="C367" s="21" t="n">
        <x:v>146</x:v>
      </x:c>
      <x:c r="D367" s="21" t="str">
        <x:v>event holds</x:v>
      </x:c>
      <x:c r="E367" s="21" t="n">
        <x:v>4</x:v>
      </x:c>
      <x:c r="F367" s="21" t="str">
        <x:v>OPEN</x:v>
      </x:c>
      <x:c r="G367" s="21" t="str"/>
      <x:c r="H367" s="21" t="str"/>
    </x:row>
    <x:row r="368">
      <x:c r="A368" s="21" t="str">
        <x:v>QE03-R01-D147</x:v>
      </x:c>
      <x:c r="B368" s="21" t="str">
        <x:v>QE03-R01</x:v>
      </x:c>
      <x:c r="C368" s="21" t="n">
        <x:v>147</x:v>
      </x:c>
      <x:c r="D368" s="21" t="str">
        <x:v>event holds</x:v>
      </x:c>
      <x:c r="E368" s="21" t="n">
        <x:v>5</x:v>
      </x:c>
      <x:c r="F368" s="21" t="str">
        <x:v>OPEN</x:v>
      </x:c>
      <x:c r="G368" s="21" t="str"/>
      <x:c r="H368" s="21" t="str"/>
    </x:row>
    <x:row r="369">
      <x:c r="A369" s="21" t="str">
        <x:v>QE03-R01-D148</x:v>
      </x:c>
      <x:c r="B369" s="21" t="str">
        <x:v>QE03-R01</x:v>
      </x:c>
      <x:c r="C369" s="21" t="n">
        <x:v>148</x:v>
      </x:c>
      <x:c r="D369" s="21" t="str">
        <x:v>event holds</x:v>
      </x:c>
      <x:c r="E369" s="21" t="n">
        <x:v>6</x:v>
      </x:c>
      <x:c r="F369" s="21" t="str">
        <x:v>OPEN</x:v>
      </x:c>
      <x:c r="G369" s="21" t="str"/>
      <x:c r="H369" s="21" t="str"/>
    </x:row>
    <x:row r="370">
      <x:c r="A370" s="21" t="str">
        <x:v>QE03-R01-D149</x:v>
      </x:c>
      <x:c r="B370" s="21" t="str">
        <x:v>QE03-R01</x:v>
      </x:c>
      <x:c r="C370" s="21" t="n">
        <x:v>149</x:v>
      </x:c>
      <x:c r="D370" s="21" t="str">
        <x:v>event holds</x:v>
      </x:c>
      <x:c r="E370" s="21" t="n">
        <x:v>7</x:v>
      </x:c>
      <x:c r="F370" s="21" t="str">
        <x:v>OPEN</x:v>
      </x:c>
      <x:c r="G370" s="21" t="str"/>
      <x:c r="H370" s="21" t="str"/>
    </x:row>
    <x:row r="371">
      <x:c r="A371" s="21" t="str">
        <x:v>QE03-R01-D150</x:v>
      </x:c>
      <x:c r="B371" s="21" t="str">
        <x:v>QE03-R01</x:v>
      </x:c>
      <x:c r="C371" s="21" t="n">
        <x:v>150</x:v>
      </x:c>
      <x:c r="D371" s="21" t="str">
        <x:v>event holds</x:v>
      </x:c>
      <x:c r="E371" s="21" t="n">
        <x:v>8</x:v>
      </x:c>
      <x:c r="F371" s="21" t="str">
        <x:v>OPEN</x:v>
      </x:c>
      <x:c r="G371" s="21" t="str"/>
      <x:c r="H371" s="21" t="str"/>
    </x:row>
    <x:row r="372">
      <x:c r="A372" s="21" t="str">
        <x:v>QE03-R01-D151</x:v>
      </x:c>
      <x:c r="B372" s="21" t="str">
        <x:v>QE03-R01</x:v>
      </x:c>
      <x:c r="C372" s="21" t="n">
        <x:v>151</x:v>
      </x:c>
      <x:c r="D372" s="21" t="str">
        <x:v>event holds</x:v>
      </x:c>
      <x:c r="E372" s="21" t="n">
        <x:v>9</x:v>
      </x:c>
      <x:c r="F372" s="21" t="str">
        <x:v>OPEN</x:v>
      </x:c>
      <x:c r="G372" s="21" t="str"/>
      <x:c r="H372" s="21" t="str"/>
    </x:row>
    <x:row r="373">
      <x:c r="A373" s="21" t="str">
        <x:v>QE03-R01-D152</x:v>
      </x:c>
      <x:c r="B373" s="21" t="str">
        <x:v>QE03-R01</x:v>
      </x:c>
      <x:c r="C373" s="21" t="n">
        <x:v>152</x:v>
      </x:c>
      <x:c r="D373" s="21" t="str">
        <x:v>event holds</x:v>
      </x:c>
      <x:c r="E373" s="21" t="n">
        <x:v>10</x:v>
      </x:c>
      <x:c r="F373" s="21" t="str">
        <x:v>OPEN</x:v>
      </x:c>
      <x:c r="G373" s="21" t="str"/>
      <x:c r="H373" s="21" t="str"/>
    </x:row>
    <x:row r="374">
      <x:c r="A374" s="21" t="str">
        <x:v>QE03-R01-D153</x:v>
      </x:c>
      <x:c r="B374" s="21" t="str">
        <x:v>QE03-R01</x:v>
      </x:c>
      <x:c r="C374" s="21" t="n">
        <x:v>153</x:v>
      </x:c>
      <x:c r="D374" s="21" t="str">
        <x:v>event holds</x:v>
      </x:c>
      <x:c r="E374" s="21" t="n">
        <x:v>11</x:v>
      </x:c>
      <x:c r="F374" s="21" t="str">
        <x:v>OPEN</x:v>
      </x:c>
      <x:c r="G374" s="21" t="str"/>
      <x:c r="H374" s="21" t="str"/>
    </x:row>
    <x:row r="375">
      <x:c r="A375" s="21" t="str">
        <x:v>QE03-R01-D154</x:v>
      </x:c>
      <x:c r="B375" s="21" t="str">
        <x:v>QE03-R01</x:v>
      </x:c>
      <x:c r="C375" s="21" t="n">
        <x:v>154</x:v>
      </x:c>
      <x:c r="D375" s="21" t="str">
        <x:v>event holds</x:v>
      </x:c>
      <x:c r="E375" s="21" t="n">
        <x:v>12</x:v>
      </x:c>
      <x:c r="F375" s="21" t="str">
        <x:v>OPEN</x:v>
      </x:c>
      <x:c r="G375" s="21" t="str"/>
      <x:c r="H375" s="21" t="str"/>
    </x:row>
    <x:row r="376">
      <x:c r="A376" s="21" t="str">
        <x:v>QE03-R01-D155</x:v>
      </x:c>
      <x:c r="B376" s="21" t="str">
        <x:v>QE03-R01</x:v>
      </x:c>
      <x:c r="C376" s="21" t="n">
        <x:v>155</x:v>
      </x:c>
      <x:c r="D376" s="21" t="str">
        <x:v>event holds</x:v>
      </x:c>
      <x:c r="E376" s="21" t="n">
        <x:v>13</x:v>
      </x:c>
      <x:c r="F376" s="21" t="str">
        <x:v>OPEN</x:v>
      </x:c>
      <x:c r="G376" s="21" t="str"/>
      <x:c r="H376" s="21" t="str"/>
    </x:row>
    <x:row r="377">
      <x:c r="A377" s="21" t="str">
        <x:v>QE03-R01-D156</x:v>
      </x:c>
      <x:c r="B377" s="21" t="str">
        <x:v>QE03-R01</x:v>
      </x:c>
      <x:c r="C377" s="21" t="n">
        <x:v>156</x:v>
      </x:c>
      <x:c r="D377" s="21" t="str">
        <x:v>event holds</x:v>
      </x:c>
      <x:c r="E377" s="21" t="n">
        <x:v>14</x:v>
      </x:c>
      <x:c r="F377" s="21" t="str">
        <x:v>OPEN</x:v>
      </x:c>
      <x:c r="G377" s="21" t="str"/>
      <x:c r="H377" s="21" t="str"/>
    </x:row>
    <x:row r="378">
      <x:c r="A378" s="21" t="str">
        <x:v>QE03-R01-D157</x:v>
      </x:c>
      <x:c r="B378" s="21" t="str">
        <x:v>QE03-R01</x:v>
      </x:c>
      <x:c r="C378" s="21" t="n">
        <x:v>157</x:v>
      </x:c>
      <x:c r="D378" s="21" t="str">
        <x:v>event holds</x:v>
      </x:c>
      <x:c r="E378" s="21" t="n">
        <x:v>15</x:v>
      </x:c>
      <x:c r="F378" s="21" t="str">
        <x:v>OPEN</x:v>
      </x:c>
      <x:c r="G378" s="21" t="str"/>
      <x:c r="H378" s="21" t="str"/>
    </x:row>
    <x:row r="379">
      <x:c r="A379" s="21" t="str">
        <x:v>QE03-R01-D158</x:v>
      </x:c>
      <x:c r="B379" s="21" t="str">
        <x:v>QE03-R01</x:v>
      </x:c>
      <x:c r="C379" s="21" t="n">
        <x:v>158</x:v>
      </x:c>
      <x:c r="D379" s="21" t="str">
        <x:v>event holds</x:v>
      </x:c>
      <x:c r="E379" s="21" t="n">
        <x:v>16</x:v>
      </x:c>
      <x:c r="F379" s="21" t="str">
        <x:v>OPEN</x:v>
      </x:c>
      <x:c r="G379" s="21" t="str"/>
      <x:c r="H379" s="21" t="str"/>
    </x:row>
    <x:row r="380">
      <x:c r="A380" s="21" t="str">
        <x:v>QE03-R01-D159</x:v>
      </x:c>
      <x:c r="B380" s="21" t="str">
        <x:v>QE03-R01</x:v>
      </x:c>
      <x:c r="C380" s="21" t="n">
        <x:v>159</x:v>
      </x:c>
      <x:c r="D380" s="21" t="str">
        <x:v>event holds</x:v>
      </x:c>
      <x:c r="E380" s="21" t="n">
        <x:v>17</x:v>
      </x:c>
      <x:c r="F380" s="21" t="str">
        <x:v>OPEN</x:v>
      </x:c>
      <x:c r="G380" s="21" t="str"/>
      <x:c r="H380" s="21" t="str"/>
    </x:row>
    <x:row r="381">
      <x:c r="A381" s="21" t="str">
        <x:v>QE03-R01-D160</x:v>
      </x:c>
      <x:c r="B381" s="21" t="str">
        <x:v>QE03-R01</x:v>
      </x:c>
      <x:c r="C381" s="21" t="n">
        <x:v>160</x:v>
      </x:c>
      <x:c r="D381" s="21" t="str">
        <x:v>event holds</x:v>
      </x:c>
      <x:c r="E381" s="21" t="n">
        <x:v>18</x:v>
      </x:c>
      <x:c r="F381" s="21" t="str">
        <x:v>OPEN</x:v>
      </x:c>
      <x:c r="G381" s="21" t="str"/>
      <x:c r="H381" s="21" t="str"/>
    </x:row>
    <x:row r="382">
      <x:c r="A382" s="21" t="str">
        <x:v>QE03-R01-D161</x:v>
      </x:c>
      <x:c r="B382" s="21" t="str">
        <x:v>QE03-R01</x:v>
      </x:c>
      <x:c r="C382" s="21" t="n">
        <x:v>161</x:v>
      </x:c>
      <x:c r="D382" s="21" t="str">
        <x:v>event holds</x:v>
      </x:c>
      <x:c r="E382" s="21" t="n">
        <x:v>19</x:v>
      </x:c>
      <x:c r="F382" s="21" t="str">
        <x:v>OPEN</x:v>
      </x:c>
      <x:c r="G382" s="21" t="str"/>
      <x:c r="H382" s="21" t="str"/>
    </x:row>
    <x:row r="383">
      <x:c r="A383" s="21" t="str">
        <x:v>QE03-R01-D162</x:v>
      </x:c>
      <x:c r="B383" s="21" t="str">
        <x:v>QE03-R01</x:v>
      </x:c>
      <x:c r="C383" s="21" t="n">
        <x:v>162</x:v>
      </x:c>
      <x:c r="D383" s="21" t="str">
        <x:v>event holds</x:v>
      </x:c>
      <x:c r="E383" s="21" t="n">
        <x:v>20</x:v>
      </x:c>
      <x:c r="F383" s="21" t="str">
        <x:v>OPEN</x:v>
      </x:c>
      <x:c r="G383" s="21" t="str"/>
      <x:c r="H383" s="21" t="str"/>
    </x:row>
    <x:row r="384">
      <x:c r="A384" s="21" t="str">
        <x:v>QE03-R01-D163</x:v>
      </x:c>
      <x:c r="B384" s="21" t="str">
        <x:v>QE03-R01</x:v>
      </x:c>
      <x:c r="C384" s="21" t="n">
        <x:v>163</x:v>
      </x:c>
      <x:c r="D384" s="21" t="str">
        <x:v>event holds</x:v>
      </x:c>
      <x:c r="E384" s="21" t="n">
        <x:v>21</x:v>
      </x:c>
      <x:c r="F384" s="21" t="str">
        <x:v>OPEN</x:v>
      </x:c>
      <x:c r="G384" s="21" t="str"/>
      <x:c r="H384" s="21" t="str"/>
    </x:row>
    <x:row r="385">
      <x:c r="A385" s="21" t="str">
        <x:v>QE03-R01-D164</x:v>
      </x:c>
      <x:c r="B385" s="21" t="str">
        <x:v>QE03-R01</x:v>
      </x:c>
      <x:c r="C385" s="21" t="n">
        <x:v>164</x:v>
      </x:c>
      <x:c r="D385" s="21" t="str">
        <x:v>event holds</x:v>
      </x:c>
      <x:c r="E385" s="21" t="n">
        <x:v>22</x:v>
      </x:c>
      <x:c r="F385" s="21" t="str">
        <x:v>OPEN</x:v>
      </x:c>
      <x:c r="G385" s="21" t="str"/>
      <x:c r="H385" s="21" t="str"/>
    </x:row>
    <x:row r="386">
      <x:c r="A386" s="21" t="str">
        <x:v>QE03-R01-D165</x:v>
      </x:c>
      <x:c r="B386" s="21" t="str">
        <x:v>QE03-R01</x:v>
      </x:c>
      <x:c r="C386" s="21" t="n">
        <x:v>165</x:v>
      </x:c>
      <x:c r="D386" s="21" t="str">
        <x:v>event holds</x:v>
      </x:c>
      <x:c r="E386" s="21" t="n">
        <x:v>23</x:v>
      </x:c>
      <x:c r="F386" s="21" t="str">
        <x:v>OPEN</x:v>
      </x:c>
      <x:c r="G386" s="21" t="str"/>
      <x:c r="H386" s="21" t="str"/>
    </x:row>
    <x:row r="387">
      <x:c r="A387" s="21" t="str">
        <x:v>QE03-R01-D166</x:v>
      </x:c>
      <x:c r="B387" s="21" t="str">
        <x:v>QE03-R01</x:v>
      </x:c>
      <x:c r="C387" s="21" t="n">
        <x:v>166</x:v>
      </x:c>
      <x:c r="D387" s="21" t="str">
        <x:v>event holds</x:v>
      </x:c>
      <x:c r="E387" s="21" t="n">
        <x:v>24</x:v>
      </x:c>
      <x:c r="F387" s="21" t="str">
        <x:v>OPEN</x:v>
      </x:c>
      <x:c r="G387" s="21" t="str"/>
      <x:c r="H387" s="21" t="str"/>
    </x:row>
    <x:row r="388">
      <x:c r="A388" s="21" t="str">
        <x:v>QE03-R01-D167</x:v>
      </x:c>
      <x:c r="B388" s="21" t="str">
        <x:v>QE03-R01</x:v>
      </x:c>
      <x:c r="C388" s="21" t="n">
        <x:v>167</x:v>
      </x:c>
      <x:c r="D388" s="21" t="str">
        <x:v>event holds</x:v>
      </x:c>
      <x:c r="E388" s="21" t="n">
        <x:v>25</x:v>
      </x:c>
      <x:c r="F388" s="21" t="str">
        <x:v>OPEN</x:v>
      </x:c>
      <x:c r="G388" s="21" t="str"/>
      <x:c r="H388" s="21" t="str"/>
    </x:row>
    <x:row r="389">
      <x:c r="A389" s="21" t="str">
        <x:v>QE03-R01-D168</x:v>
      </x:c>
      <x:c r="B389" s="21" t="str">
        <x:v>QE03-R01</x:v>
      </x:c>
      <x:c r="C389" s="21" t="n">
        <x:v>168</x:v>
      </x:c>
      <x:c r="D389" s="21" t="str">
        <x:v>event holds</x:v>
      </x:c>
      <x:c r="E389" s="21" t="n">
        <x:v>26</x:v>
      </x:c>
      <x:c r="F389" s="21" t="str">
        <x:v>OPEN</x:v>
      </x:c>
      <x:c r="G389" s="21" t="str"/>
      <x:c r="H389" s="21" t="str"/>
    </x:row>
    <x:row r="390">
      <x:c r="A390" s="21" t="str">
        <x:v>QE03-R01-D169</x:v>
      </x:c>
      <x:c r="B390" s="21" t="str">
        <x:v>QE03-R01</x:v>
      </x:c>
      <x:c r="C390" s="21" t="n">
        <x:v>169</x:v>
      </x:c>
      <x:c r="D390" s="21" t="str">
        <x:v>event holds</x:v>
      </x:c>
      <x:c r="E390" s="21" t="n">
        <x:v>27</x:v>
      </x:c>
      <x:c r="F390" s="21" t="str">
        <x:v>OPEN</x:v>
      </x:c>
      <x:c r="G390" s="21" t="str"/>
      <x:c r="H390" s="21" t="str"/>
    </x:row>
    <x:row r="391">
      <x:c r="A391" s="21" t="str">
        <x:v>QE03-R01-D170</x:v>
      </x:c>
      <x:c r="B391" s="21" t="str">
        <x:v>QE03-R01</x:v>
      </x:c>
      <x:c r="C391" s="21" t="n">
        <x:v>170</x:v>
      </x:c>
      <x:c r="D391" s="21" t="str">
        <x:v>event holds</x:v>
      </x:c>
      <x:c r="E391" s="21" t="n">
        <x:v>28</x:v>
      </x:c>
      <x:c r="F391" s="21" t="str">
        <x:v>OPEN</x:v>
      </x:c>
      <x:c r="G391" s="21" t="str"/>
      <x:c r="H391" s="21" t="str"/>
    </x:row>
    <x:row r="392">
      <x:c r="A392" s="21" t="str">
        <x:v>QE03-R01-D171</x:v>
      </x:c>
      <x:c r="B392" s="21" t="str">
        <x:v>QE03-R01</x:v>
      </x:c>
      <x:c r="C392" s="21" t="n">
        <x:v>171</x:v>
      </x:c>
      <x:c r="D392" s="21" t="str">
        <x:v>event holds</x:v>
      </x:c>
      <x:c r="E392" s="21" t="n">
        <x:v>29</x:v>
      </x:c>
      <x:c r="F392" s="21" t="str">
        <x:v>OPEN</x:v>
      </x:c>
      <x:c r="G392" s="21" t="str"/>
      <x:c r="H392" s="21" t="str"/>
    </x:row>
    <x:row r="393">
      <x:c r="A393" s="21" t="str">
        <x:v>QE03-R01-D172</x:v>
      </x:c>
      <x:c r="B393" s="21" t="str">
        <x:v>QE03-R01</x:v>
      </x:c>
      <x:c r="C393" s="21" t="n">
        <x:v>172</x:v>
      </x:c>
      <x:c r="D393" s="21" t="str">
        <x:v>event holds</x:v>
      </x:c>
      <x:c r="E393" s="21" t="n">
        <x:v>30</x:v>
      </x:c>
      <x:c r="F393" s="21" t="str">
        <x:v>OPEN</x:v>
      </x:c>
      <x:c r="G393" s="21" t="str"/>
      <x:c r="H393" s="21" t="str"/>
    </x:row>
    <x:row r="394">
      <x:c r="A394" s="21" t="str">
        <x:v>QE03-R01-D173</x:v>
      </x:c>
      <x:c r="B394" s="21" t="str">
        <x:v>QE03-R01</x:v>
      </x:c>
      <x:c r="C394" s="21" t="n">
        <x:v>173</x:v>
      </x:c>
      <x:c r="D394" s="21" t="str">
        <x:v>event holds</x:v>
      </x:c>
      <x:c r="E394" s="21" t="n">
        <x:v>31</x:v>
      </x:c>
      <x:c r="F394" s="21" t="str">
        <x:v>OPEN</x:v>
      </x:c>
      <x:c r="G394" s="21" t="str"/>
      <x:c r="H394" s="21" t="str"/>
    </x:row>
    <x:row r="395">
      <x:c r="A395" s="21" t="str">
        <x:v>QE03-R01-D174</x:v>
      </x:c>
      <x:c r="B395" s="21" t="str">
        <x:v>QE03-R01</x:v>
      </x:c>
      <x:c r="C395" s="21" t="n">
        <x:v>174</x:v>
      </x:c>
      <x:c r="D395" s="21" t="str">
        <x:v>event holds</x:v>
      </x:c>
      <x:c r="E395" s="21" t="n">
        <x:v>32</x:v>
      </x:c>
      <x:c r="F395" s="21" t="str">
        <x:v>OPEN</x:v>
      </x:c>
      <x:c r="G395" s="21" t="str"/>
      <x:c r="H395" s="21" t="str"/>
    </x:row>
    <x:row r="396">
      <x:c r="A396" s="21" t="str">
        <x:v>QE03-R01-D175</x:v>
      </x:c>
      <x:c r="B396" s="21" t="str">
        <x:v>QE03-R01</x:v>
      </x:c>
      <x:c r="C396" s="21" t="n">
        <x:v>175</x:v>
      </x:c>
      <x:c r="D396" s="21" t="str">
        <x:v>evidence objects</x:v>
      </x:c>
      <x:c r="E396" s="21" t="n">
        <x:v>1</x:v>
      </x:c>
      <x:c r="F396" s="21" t="str">
        <x:v>OPEN</x:v>
      </x:c>
      <x:c r="G396" s="21" t="str"/>
      <x:c r="H396" s="21" t="str"/>
    </x:row>
    <x:row r="397">
      <x:c r="A397" s="21" t="str">
        <x:v>QE03-R01-D176</x:v>
      </x:c>
      <x:c r="B397" s="21" t="str">
        <x:v>QE03-R01</x:v>
      </x:c>
      <x:c r="C397" s="21" t="n">
        <x:v>176</x:v>
      </x:c>
      <x:c r="D397" s="21" t="str">
        <x:v>evidence objects</x:v>
      </x:c>
      <x:c r="E397" s="21" t="n">
        <x:v>2</x:v>
      </x:c>
      <x:c r="F397" s="21" t="str">
        <x:v>OPEN</x:v>
      </x:c>
      <x:c r="G397" s="21" t="str"/>
      <x:c r="H397" s="21" t="str"/>
    </x:row>
    <x:row r="398">
      <x:c r="A398" s="21" t="str">
        <x:v>QE03-R01-D177</x:v>
      </x:c>
      <x:c r="B398" s="21" t="str">
        <x:v>QE03-R01</x:v>
      </x:c>
      <x:c r="C398" s="21" t="n">
        <x:v>177</x:v>
      </x:c>
      <x:c r="D398" s="21" t="str">
        <x:v>evidence objects</x:v>
      </x:c>
      <x:c r="E398" s="21" t="n">
        <x:v>3</x:v>
      </x:c>
      <x:c r="F398" s="21" t="str">
        <x:v>OPEN</x:v>
      </x:c>
      <x:c r="G398" s="21" t="str"/>
      <x:c r="H398" s="21" t="str"/>
    </x:row>
    <x:row r="399">
      <x:c r="A399" s="21" t="str">
        <x:v>QE03-R01-D178</x:v>
      </x:c>
      <x:c r="B399" s="21" t="str">
        <x:v>QE03-R01</x:v>
      </x:c>
      <x:c r="C399" s="21" t="n">
        <x:v>178</x:v>
      </x:c>
      <x:c r="D399" s="21" t="str">
        <x:v>evidence objects</x:v>
      </x:c>
      <x:c r="E399" s="21" t="n">
        <x:v>4</x:v>
      </x:c>
      <x:c r="F399" s="21" t="str">
        <x:v>OPEN</x:v>
      </x:c>
      <x:c r="G399" s="21" t="str"/>
      <x:c r="H399" s="21" t="str"/>
    </x:row>
    <x:row r="400">
      <x:c r="A400" s="21" t="str">
        <x:v>QE03-R01-D179</x:v>
      </x:c>
      <x:c r="B400" s="21" t="str">
        <x:v>QE03-R01</x:v>
      </x:c>
      <x:c r="C400" s="21" t="n">
        <x:v>179</x:v>
      </x:c>
      <x:c r="D400" s="21" t="str">
        <x:v>evidence objects</x:v>
      </x:c>
      <x:c r="E400" s="21" t="n">
        <x:v>5</x:v>
      </x:c>
      <x:c r="F400" s="21" t="str">
        <x:v>OPEN</x:v>
      </x:c>
      <x:c r="G400" s="21" t="str"/>
      <x:c r="H400" s="21" t="str"/>
    </x:row>
    <x:row r="401">
      <x:c r="A401" s="21" t="str">
        <x:v>QE03-R01-D180</x:v>
      </x:c>
      <x:c r="B401" s="21" t="str">
        <x:v>QE03-R01</x:v>
      </x:c>
      <x:c r="C401" s="21" t="n">
        <x:v>180</x:v>
      </x:c>
      <x:c r="D401" s="21" t="str">
        <x:v>evidence objects</x:v>
      </x:c>
      <x:c r="E401" s="21" t="n">
        <x:v>6</x:v>
      </x:c>
      <x:c r="F401" s="21" t="str">
        <x:v>OPEN</x:v>
      </x:c>
      <x:c r="G401" s="21" t="str"/>
      <x:c r="H401" s="21" t="str"/>
    </x:row>
    <x:row r="402">
      <x:c r="A402" s="21" t="str">
        <x:v>QE03-R01-D181</x:v>
      </x:c>
      <x:c r="B402" s="21" t="str">
        <x:v>QE03-R01</x:v>
      </x:c>
      <x:c r="C402" s="21" t="n">
        <x:v>181</x:v>
      </x:c>
      <x:c r="D402" s="21" t="str">
        <x:v>evidence objects</x:v>
      </x:c>
      <x:c r="E402" s="21" t="n">
        <x:v>7</x:v>
      </x:c>
      <x:c r="F402" s="21" t="str">
        <x:v>OPEN</x:v>
      </x:c>
      <x:c r="G402" s="21" t="str"/>
      <x:c r="H402" s="21" t="str"/>
    </x:row>
    <x:row r="403">
      <x:c r="A403" s="21" t="str">
        <x:v>QE03-R01-D182</x:v>
      </x:c>
      <x:c r="B403" s="21" t="str">
        <x:v>QE03-R01</x:v>
      </x:c>
      <x:c r="C403" s="21" t="n">
        <x:v>182</x:v>
      </x:c>
      <x:c r="D403" s="21" t="str">
        <x:v>evidence objects</x:v>
      </x:c>
      <x:c r="E403" s="21" t="n">
        <x:v>8</x:v>
      </x:c>
      <x:c r="F403" s="21" t="str">
        <x:v>OPEN</x:v>
      </x:c>
      <x:c r="G403" s="21" t="str"/>
      <x:c r="H403" s="21" t="str"/>
    </x:row>
    <x:row r="404">
      <x:c r="A404" s="21" t="str">
        <x:v>QE03-R01-D183</x:v>
      </x:c>
      <x:c r="B404" s="21" t="str">
        <x:v>QE03-R01</x:v>
      </x:c>
      <x:c r="C404" s="21" t="n">
        <x:v>183</x:v>
      </x:c>
      <x:c r="D404" s="21" t="str">
        <x:v>evidence objects</x:v>
      </x:c>
      <x:c r="E404" s="21" t="n">
        <x:v>9</x:v>
      </x:c>
      <x:c r="F404" s="21" t="str">
        <x:v>OPEN</x:v>
      </x:c>
      <x:c r="G404" s="21" t="str"/>
      <x:c r="H404" s="21" t="str"/>
    </x:row>
    <x:row r="405">
      <x:c r="A405" s="21" t="str">
        <x:v>QE03-R01-D184</x:v>
      </x:c>
      <x:c r="B405" s="21" t="str">
        <x:v>QE03-R01</x:v>
      </x:c>
      <x:c r="C405" s="21" t="n">
        <x:v>184</x:v>
      </x:c>
      <x:c r="D405" s="21" t="str">
        <x:v>evidence objects</x:v>
      </x:c>
      <x:c r="E405" s="21" t="n">
        <x:v>10</x:v>
      </x:c>
      <x:c r="F405" s="21" t="str">
        <x:v>OPEN</x:v>
      </x:c>
      <x:c r="G405" s="21" t="str"/>
      <x:c r="H405" s="21" t="str"/>
    </x:row>
    <x:row r="406">
      <x:c r="A406" s="21" t="str">
        <x:v>QE03-R01-D185</x:v>
      </x:c>
      <x:c r="B406" s="21" t="str">
        <x:v>QE03-R01</x:v>
      </x:c>
      <x:c r="C406" s="21" t="n">
        <x:v>185</x:v>
      </x:c>
      <x:c r="D406" s="21" t="str">
        <x:v>evidence objects</x:v>
      </x:c>
      <x:c r="E406" s="21" t="n">
        <x:v>11</x:v>
      </x:c>
      <x:c r="F406" s="21" t="str">
        <x:v>OPEN</x:v>
      </x:c>
      <x:c r="G406" s="21" t="str"/>
      <x:c r="H406" s="21" t="str"/>
    </x:row>
    <x:row r="407">
      <x:c r="A407" s="21" t="str">
        <x:v>QE03-R01-D186</x:v>
      </x:c>
      <x:c r="B407" s="21" t="str">
        <x:v>QE03-R01</x:v>
      </x:c>
      <x:c r="C407" s="21" t="n">
        <x:v>186</x:v>
      </x:c>
      <x:c r="D407" s="21" t="str">
        <x:v>evidence objects</x:v>
      </x:c>
      <x:c r="E407" s="21" t="n">
        <x:v>12</x:v>
      </x:c>
      <x:c r="F407" s="21" t="str">
        <x:v>OPEN</x:v>
      </x:c>
      <x:c r="G407" s="21" t="str"/>
      <x:c r="H407" s="21" t="str"/>
    </x:row>
    <x:row r="408">
      <x:c r="A408" s="21" t="str">
        <x:v>QE03-R01-D187</x:v>
      </x:c>
      <x:c r="B408" s="21" t="str">
        <x:v>QE03-R01</x:v>
      </x:c>
      <x:c r="C408" s="21" t="n">
        <x:v>187</x:v>
      </x:c>
      <x:c r="D408" s="21" t="str">
        <x:v>source package</x:v>
      </x:c>
      <x:c r="E408" s="21" t="n">
        <x:v>1</x:v>
      </x:c>
      <x:c r="F408" s="21" t="str">
        <x:v>OPEN</x:v>
      </x:c>
      <x:c r="G408" s="21" t="str"/>
      <x:c r="H408" s="21" t="str"/>
    </x:row>
    <x:row r="409">
      <x:c r="A409" s="21" t="str">
        <x:v>QE03-R01-D188</x:v>
      </x:c>
      <x:c r="B409" s="21" t="str">
        <x:v>QE03-R01</x:v>
      </x:c>
      <x:c r="C409" s="21" t="n">
        <x:v>188</x:v>
      </x:c>
      <x:c r="D409" s="21" t="str">
        <x:v>source characteristics</x:v>
      </x:c>
      <x:c r="E409" s="21" t="n">
        <x:v>1</x:v>
      </x:c>
      <x:c r="F409" s="21" t="str">
        <x:v>OPEN</x:v>
      </x:c>
      <x:c r="G409" s="21" t="str"/>
      <x:c r="H409" s="21" t="str"/>
    </x:row>
    <x:row r="410">
      <x:c r="A410" s="21" t="str">
        <x:v>QE03-R01-D189</x:v>
      </x:c>
      <x:c r="B410" s="21" t="str">
        <x:v>QE03-R01</x:v>
      </x:c>
      <x:c r="C410" s="21" t="n">
        <x:v>189</x:v>
      </x:c>
      <x:c r="D410" s="21" t="str">
        <x:v>source characteristics</x:v>
      </x:c>
      <x:c r="E410" s="21" t="n">
        <x:v>2</x:v>
      </x:c>
      <x:c r="F410" s="21" t="str">
        <x:v>OPEN</x:v>
      </x:c>
      <x:c r="G410" s="21" t="str"/>
      <x:c r="H410" s="21" t="str"/>
    </x:row>
    <x:row r="411">
      <x:c r="A411" s="21" t="str">
        <x:v>QE03-R01-D190</x:v>
      </x:c>
      <x:c r="B411" s="21" t="str">
        <x:v>QE03-R01</x:v>
      </x:c>
      <x:c r="C411" s="21" t="n">
        <x:v>190</x:v>
      </x:c>
      <x:c r="D411" s="21" t="str">
        <x:v>source characteristics</x:v>
      </x:c>
      <x:c r="E411" s="21" t="n">
        <x:v>3</x:v>
      </x:c>
      <x:c r="F411" s="21" t="str">
        <x:v>OPEN</x:v>
      </x:c>
      <x:c r="G411" s="21" t="str"/>
      <x:c r="H411" s="21" t="str"/>
    </x:row>
    <x:row r="412">
      <x:c r="A412" s="21" t="str">
        <x:v>QE03-R01-D191</x:v>
      </x:c>
      <x:c r="B412" s="21" t="str">
        <x:v>QE03-R01</x:v>
      </x:c>
      <x:c r="C412" s="21" t="n">
        <x:v>191</x:v>
      </x:c>
      <x:c r="D412" s="21" t="str">
        <x:v>source characteristics</x:v>
      </x:c>
      <x:c r="E412" s="21" t="n">
        <x:v>4</x:v>
      </x:c>
      <x:c r="F412" s="21" t="str">
        <x:v>OPEN</x:v>
      </x:c>
      <x:c r="G412" s="21" t="str"/>
      <x:c r="H412" s="21" t="str"/>
    </x:row>
    <x:row r="413">
      <x:c r="A413" s="21" t="str">
        <x:v>QE03-R01-D192</x:v>
      </x:c>
      <x:c r="B413" s="21" t="str">
        <x:v>QE03-R01</x:v>
      </x:c>
      <x:c r="C413" s="21" t="n">
        <x:v>192</x:v>
      </x:c>
      <x:c r="D413" s="21" t="str">
        <x:v>source characteristics</x:v>
      </x:c>
      <x:c r="E413" s="21" t="n">
        <x:v>5</x:v>
      </x:c>
      <x:c r="F413" s="21" t="str">
        <x:v>OPEN</x:v>
      </x:c>
      <x:c r="G413" s="21" t="str"/>
      <x:c r="H413" s="21" t="str"/>
    </x:row>
    <x:row r="414">
      <x:c r="A414" s="21" t="str">
        <x:v>QE03-R01-D193</x:v>
      </x:c>
      <x:c r="B414" s="21" t="str">
        <x:v>QE03-R01</x:v>
      </x:c>
      <x:c r="C414" s="21" t="n">
        <x:v>193</x:v>
      </x:c>
      <x:c r="D414" s="21" t="str">
        <x:v>source characteristics</x:v>
      </x:c>
      <x:c r="E414" s="21" t="n">
        <x:v>6</x:v>
      </x:c>
      <x:c r="F414" s="21" t="str">
        <x:v>OPEN</x:v>
      </x:c>
      <x:c r="G414" s="21" t="str"/>
      <x:c r="H414" s="21" t="str"/>
    </x:row>
    <x:row r="415">
      <x:c r="A415" s="21" t="str">
        <x:v>QE03-R01-D194</x:v>
      </x:c>
      <x:c r="B415" s="21" t="str">
        <x:v>QE03-R01</x:v>
      </x:c>
      <x:c r="C415" s="21" t="n">
        <x:v>194</x:v>
      </x:c>
      <x:c r="D415" s="21" t="str">
        <x:v>source characteristics</x:v>
      </x:c>
      <x:c r="E415" s="21" t="n">
        <x:v>7</x:v>
      </x:c>
      <x:c r="F415" s="21" t="str">
        <x:v>OPEN</x:v>
      </x:c>
      <x:c r="G415" s="21" t="str"/>
      <x:c r="H415" s="21" t="str"/>
    </x:row>
    <x:row r="416">
      <x:c r="A416" s="21" t="str">
        <x:v>QE03-R01-D195</x:v>
      </x:c>
      <x:c r="B416" s="21" t="str">
        <x:v>QE03-R01</x:v>
      </x:c>
      <x:c r="C416" s="21" t="n">
        <x:v>195</x:v>
      </x:c>
      <x:c r="D416" s="21" t="str">
        <x:v>source characteristics</x:v>
      </x:c>
      <x:c r="E416" s="21" t="n">
        <x:v>8</x:v>
      </x:c>
      <x:c r="F416" s="21" t="str">
        <x:v>OPEN</x:v>
      </x:c>
      <x:c r="G416" s="21" t="str"/>
      <x:c r="H416" s="21" t="str"/>
    </x:row>
    <x:row r="417">
      <x:c r="A417" s="21" t="str">
        <x:v>QE03-R01-D196</x:v>
      </x:c>
      <x:c r="B417" s="21" t="str">
        <x:v>QE03-R01</x:v>
      </x:c>
      <x:c r="C417" s="21" t="n">
        <x:v>196</x:v>
      </x:c>
      <x:c r="D417" s="21" t="str">
        <x:v>source characteristics</x:v>
      </x:c>
      <x:c r="E417" s="21" t="n">
        <x:v>9</x:v>
      </x:c>
      <x:c r="F417" s="21" t="str">
        <x:v>OPEN</x:v>
      </x:c>
      <x:c r="G417" s="21" t="str"/>
      <x:c r="H417" s="21" t="str"/>
    </x:row>
    <x:row r="418">
      <x:c r="A418" s="21" t="str">
        <x:v>QE03-R01-D197</x:v>
      </x:c>
      <x:c r="B418" s="21" t="str">
        <x:v>QE03-R01</x:v>
      </x:c>
      <x:c r="C418" s="21" t="n">
        <x:v>197</x:v>
      </x:c>
      <x:c r="D418" s="21" t="str">
        <x:v>source characteristics</x:v>
      </x:c>
      <x:c r="E418" s="21" t="n">
        <x:v>10</x:v>
      </x:c>
      <x:c r="F418" s="21" t="str">
        <x:v>OPEN</x:v>
      </x:c>
      <x:c r="G418" s="21" t="str"/>
      <x:c r="H418" s="21" t="str"/>
    </x:row>
    <x:row r="419">
      <x:c r="A419" s="21" t="str">
        <x:v>QE03-R01-D198</x:v>
      </x:c>
      <x:c r="B419" s="21" t="str">
        <x:v>QE03-R01</x:v>
      </x:c>
      <x:c r="C419" s="21" t="n">
        <x:v>198</x:v>
      </x:c>
      <x:c r="D419" s="21" t="str">
        <x:v>samples</x:v>
      </x:c>
      <x:c r="E419" s="21" t="n">
        <x:v>1</x:v>
      </x:c>
      <x:c r="F419" s="21" t="str">
        <x:v>OPEN</x:v>
      </x:c>
      <x:c r="G419" s="21" t="str"/>
      <x:c r="H419" s="21" t="str"/>
    </x:row>
    <x:row r="420">
      <x:c r="A420" s="21" t="str">
        <x:v>QE03-R01-D199</x:v>
      </x:c>
      <x:c r="B420" s="21" t="str">
        <x:v>QE03-R01</x:v>
      </x:c>
      <x:c r="C420" s="21" t="n">
        <x:v>199</x:v>
      </x:c>
      <x:c r="D420" s="21" t="str">
        <x:v>samples</x:v>
      </x:c>
      <x:c r="E420" s="21" t="n">
        <x:v>2</x:v>
      </x:c>
      <x:c r="F420" s="21" t="str">
        <x:v>OPEN</x:v>
      </x:c>
      <x:c r="G420" s="21" t="str"/>
      <x:c r="H420" s="21" t="str"/>
    </x:row>
    <x:row r="421">
      <x:c r="A421" s="21" t="str">
        <x:v>QE03-R01-D200</x:v>
      </x:c>
      <x:c r="B421" s="21" t="str">
        <x:v>QE03-R01</x:v>
      </x:c>
      <x:c r="C421" s="21" t="n">
        <x:v>200</x:v>
      </x:c>
      <x:c r="D421" s="21" t="str">
        <x:v>samples</x:v>
      </x:c>
      <x:c r="E421" s="21" t="n">
        <x:v>3</x:v>
      </x:c>
      <x:c r="F421" s="21" t="str">
        <x:v>OPEN</x:v>
      </x:c>
      <x:c r="G421" s="21" t="str"/>
      <x:c r="H421" s="21" t="str"/>
    </x:row>
    <x:row r="422">
      <x:c r="A422" s="21" t="str">
        <x:v>QE03-R01-D201</x:v>
      </x:c>
      <x:c r="B422" s="21" t="str">
        <x:v>QE03-R01</x:v>
      </x:c>
      <x:c r="C422" s="21" t="n">
        <x:v>201</x:v>
      </x:c>
      <x:c r="D422" s="21" t="str">
        <x:v>samples</x:v>
      </x:c>
      <x:c r="E422" s="21" t="n">
        <x:v>4</x:v>
      </x:c>
      <x:c r="F422" s="21" t="str">
        <x:v>OPEN</x:v>
      </x:c>
      <x:c r="G422" s="21" t="str"/>
      <x:c r="H422" s="21" t="str"/>
    </x:row>
    <x:row r="423">
      <x:c r="A423" s="21" t="str">
        <x:v>QE03-R01-D202</x:v>
      </x:c>
      <x:c r="B423" s="21" t="str">
        <x:v>QE03-R01</x:v>
      </x:c>
      <x:c r="C423" s="21" t="n">
        <x:v>202</x:v>
      </x:c>
      <x:c r="D423" s="21" t="str">
        <x:v>samples</x:v>
      </x:c>
      <x:c r="E423" s="21" t="n">
        <x:v>5</x:v>
      </x:c>
      <x:c r="F423" s="21" t="str">
        <x:v>OPEN</x:v>
      </x:c>
      <x:c r="G423" s="21" t="str"/>
      <x:c r="H423" s="21" t="str"/>
    </x:row>
    <x:row r="424">
      <x:c r="A424" s="21" t="str">
        <x:v>QE03-R01-D203</x:v>
      </x:c>
      <x:c r="B424" s="21" t="str">
        <x:v>QE03-R01</x:v>
      </x:c>
      <x:c r="C424" s="21" t="n">
        <x:v>203</x:v>
      </x:c>
      <x:c r="D424" s="21" t="str">
        <x:v>samples</x:v>
      </x:c>
      <x:c r="E424" s="21" t="n">
        <x:v>6</x:v>
      </x:c>
      <x:c r="F424" s="21" t="str">
        <x:v>OPEN</x:v>
      </x:c>
      <x:c r="G424" s="21" t="str"/>
      <x:c r="H424" s="21" t="str"/>
    </x:row>
    <x:row r="425">
      <x:c r="A425" s="21" t="str">
        <x:v>QE03-R01-D204</x:v>
      </x:c>
      <x:c r="B425" s="21" t="str">
        <x:v>QE03-R01</x:v>
      </x:c>
      <x:c r="C425" s="21" t="n">
        <x:v>204</x:v>
      </x:c>
      <x:c r="D425" s="21" t="str">
        <x:v>samples</x:v>
      </x:c>
      <x:c r="E425" s="21" t="n">
        <x:v>7</x:v>
      </x:c>
      <x:c r="F425" s="21" t="str">
        <x:v>OPEN</x:v>
      </x:c>
      <x:c r="G425" s="21" t="str"/>
      <x:c r="H425" s="21" t="str"/>
    </x:row>
    <x:row r="426">
      <x:c r="A426" s="21" t="str">
        <x:v>QE03-R01-D205</x:v>
      </x:c>
      <x:c r="B426" s="21" t="str">
        <x:v>QE03-R01</x:v>
      </x:c>
      <x:c r="C426" s="21" t="n">
        <x:v>205</x:v>
      </x:c>
      <x:c r="D426" s="21" t="str">
        <x:v>samples</x:v>
      </x:c>
      <x:c r="E426" s="21" t="n">
        <x:v>8</x:v>
      </x:c>
      <x:c r="F426" s="21" t="str">
        <x:v>OPEN</x:v>
      </x:c>
      <x:c r="G426" s="21" t="str"/>
      <x:c r="H426" s="21" t="str"/>
    </x:row>
    <x:row r="427">
      <x:c r="A427" s="21" t="str">
        <x:v>QE03-R01-D206</x:v>
      </x:c>
      <x:c r="B427" s="21" t="str">
        <x:v>QE03-R01</x:v>
      </x:c>
      <x:c r="C427" s="21" t="n">
        <x:v>206</x:v>
      </x:c>
      <x:c r="D427" s="21" t="str">
        <x:v>QE-03 amendment baseline</x:v>
      </x:c>
      <x:c r="E427" s="21" t="n">
        <x:v>1</x:v>
      </x:c>
      <x:c r="F427" s="21" t="str">
        <x:v>OPEN</x:v>
      </x:c>
      <x:c r="G427" s="21" t="str"/>
      <x:c r="H427" s="21" t="str"/>
    </x:row>
    <x:row r="428">
      <x:c r="A428" s="21" t="str">
        <x:v>QE03-R01-D207</x:v>
      </x:c>
      <x:c r="B428" s="21" t="str">
        <x:v>QE03-R01</x:v>
      </x:c>
      <x:c r="C428" s="21" t="n">
        <x:v>207</x:v>
      </x:c>
      <x:c r="D428" s="21" t="str">
        <x:v>REA-250 conversion assembly</x:v>
      </x:c>
      <x:c r="E428" s="21" t="n">
        <x:v>1</x:v>
      </x:c>
      <x:c r="F428" s="21" t="str">
        <x:v>OPEN</x:v>
      </x:c>
      <x:c r="G428" s="21" t="str"/>
      <x:c r="H428" s="21" t="str"/>
    </x:row>
    <x:row r="429">
      <x:c r="A429" s="21" t="str">
        <x:v>QE03-R01-D208</x:v>
      </x:c>
      <x:c r="B429" s="21" t="str">
        <x:v>QE03-R01</x:v>
      </x:c>
      <x:c r="C429" s="21" t="n">
        <x:v>208</x:v>
      </x:c>
      <x:c r="D429" s="21" t="str">
        <x:v>capture-plane quadrants</x:v>
      </x:c>
      <x:c r="E429" s="21" t="n">
        <x:v>1</x:v>
      </x:c>
      <x:c r="F429" s="21" t="str">
        <x:v>OPEN</x:v>
      </x:c>
      <x:c r="G429" s="21" t="str"/>
      <x:c r="H429" s="21" t="str"/>
    </x:row>
    <x:row r="430">
      <x:c r="A430" s="21" t="str">
        <x:v>QE03-R01-D209</x:v>
      </x:c>
      <x:c r="B430" s="21" t="str">
        <x:v>QE03-R01</x:v>
      </x:c>
      <x:c r="C430" s="21" t="n">
        <x:v>209</x:v>
      </x:c>
      <x:c r="D430" s="21" t="str">
        <x:v>capture-plane quadrants</x:v>
      </x:c>
      <x:c r="E430" s="21" t="n">
        <x:v>2</x:v>
      </x:c>
      <x:c r="F430" s="21" t="str">
        <x:v>OPEN</x:v>
      </x:c>
      <x:c r="G430" s="21" t="str"/>
      <x:c r="H430" s="21" t="str"/>
    </x:row>
    <x:row r="431">
      <x:c r="A431" s="21" t="str">
        <x:v>QE03-R01-D210</x:v>
      </x:c>
      <x:c r="B431" s="21" t="str">
        <x:v>QE03-R01</x:v>
      </x:c>
      <x:c r="C431" s="21" t="n">
        <x:v>210</x:v>
      </x:c>
      <x:c r="D431" s="21" t="str">
        <x:v>capture-plane quadrants</x:v>
      </x:c>
      <x:c r="E431" s="21" t="n">
        <x:v>3</x:v>
      </x:c>
      <x:c r="F431" s="21" t="str">
        <x:v>OPEN</x:v>
      </x:c>
      <x:c r="G431" s="21" t="str"/>
      <x:c r="H431" s="21" t="str"/>
    </x:row>
    <x:row r="432">
      <x:c r="A432" s="21" t="str">
        <x:v>QE03-R01-D211</x:v>
      </x:c>
      <x:c r="B432" s="21" t="str">
        <x:v>QE03-R01</x:v>
      </x:c>
      <x:c r="C432" s="21" t="n">
        <x:v>211</x:v>
      </x:c>
      <x:c r="D432" s="21" t="str">
        <x:v>capture-plane quadrants</x:v>
      </x:c>
      <x:c r="E432" s="21" t="n">
        <x:v>4</x:v>
      </x:c>
      <x:c r="F432" s="21" t="str">
        <x:v>OPEN</x:v>
      </x:c>
      <x:c r="G432" s="21" t="str"/>
      <x:c r="H432" s="21" t="str"/>
    </x:row>
    <x:row r="433">
      <x:c r="A433" s="21" t="str">
        <x:v>QE03-R01-D212</x:v>
      </x:c>
      <x:c r="B433" s="21" t="str">
        <x:v>QE03-R01</x:v>
      </x:c>
      <x:c r="C433" s="21" t="n">
        <x:v>212</x:v>
      </x:c>
      <x:c r="D433" s="21" t="str">
        <x:v>area and grade survey</x:v>
      </x:c>
      <x:c r="E433" s="21" t="n">
        <x:v>1</x:v>
      </x:c>
      <x:c r="F433" s="21" t="str">
        <x:v>OPEN</x:v>
      </x:c>
      <x:c r="G433" s="21" t="str"/>
      <x:c r="H433" s="21" t="str"/>
    </x:row>
    <x:row r="434">
      <x:c r="A434" s="21" t="str">
        <x:v>QE03-R01-D213</x:v>
      </x:c>
      <x:c r="B434" s="21" t="str">
        <x:v>QE03-R01</x:v>
      </x:c>
      <x:c r="C434" s="21" t="n">
        <x:v>213</x:v>
      </x:c>
      <x:c r="D434" s="21" t="str">
        <x:v>receiver-capacity decision</x:v>
      </x:c>
      <x:c r="E434" s="21" t="n">
        <x:v>1</x:v>
      </x:c>
      <x:c r="F434" s="21" t="str">
        <x:v>OPEN</x:v>
      </x:c>
      <x:c r="G434" s="21" t="str"/>
      <x:c r="H434" s="21" t="str"/>
    </x:row>
    <x:row r="435">
      <x:c r="A435" s="21" t="str">
        <x:v>QE03-R01-D214</x:v>
      </x:c>
      <x:c r="B435" s="21" t="str">
        <x:v>QE03-R01</x:v>
      </x:c>
      <x:c r="C435" s="21" t="n">
        <x:v>214</x:v>
      </x:c>
      <x:c r="D435" s="21" t="str">
        <x:v>rate-extension packet</x:v>
      </x:c>
      <x:c r="E435" s="21" t="n">
        <x:v>1</x:v>
      </x:c>
      <x:c r="F435" s="21" t="str">
        <x:v>OPEN</x:v>
      </x:c>
      <x:c r="G435" s="21" t="str"/>
      <x:c r="H435" s="21" t="str"/>
    </x:row>
    <x:row r="436">
      <x:c r="A436" s="21" t="str">
        <x:v>QE03-R01-D215</x:v>
      </x:c>
      <x:c r="B436" s="21" t="str">
        <x:v>QE03-R01</x:v>
      </x:c>
      <x:c r="C436" s="21" t="n">
        <x:v>215</x:v>
      </x:c>
      <x:c r="D436" s="21" t="str">
        <x:v>surge-margin decision</x:v>
      </x:c>
      <x:c r="E436" s="21" t="n">
        <x:v>1</x:v>
      </x:c>
      <x:c r="F436" s="21" t="str">
        <x:v>OPEN</x:v>
      </x:c>
      <x:c r="G436" s="21" t="str"/>
      <x:c r="H436" s="21" t="str"/>
    </x:row>
    <x:row r="437">
      <x:c r="A437" s="21" t="str">
        <x:v>QE03-R01-D216</x:v>
      </x:c>
      <x:c r="B437" s="21" t="str">
        <x:v>QE03-R01</x:v>
      </x:c>
      <x:c r="C437" s="21" t="n">
        <x:v>216</x:v>
      </x:c>
      <x:c r="D437" s="21" t="str">
        <x:v>dynamic hold-up map</x:v>
      </x:c>
      <x:c r="E437" s="21" t="n">
        <x:v>1</x:v>
      </x:c>
      <x:c r="F437" s="21" t="str">
        <x:v>OPEN</x:v>
      </x:c>
      <x:c r="G437" s="21" t="str"/>
      <x:c r="H437" s="21" t="str"/>
    </x:row>
    <x:row r="438">
      <x:c r="A438" s="21" t="str">
        <x:v>QE03-R01-D217</x:v>
      </x:c>
      <x:c r="B438" s="21" t="str">
        <x:v>QE03-R01</x:v>
      </x:c>
      <x:c r="C438" s="21" t="n">
        <x:v>217</x:v>
      </x:c>
      <x:c r="D438" s="21" t="str">
        <x:v>recovery-capacity decision</x:v>
      </x:c>
      <x:c r="E438" s="21" t="n">
        <x:v>1</x:v>
      </x:c>
      <x:c r="F438" s="21" t="str">
        <x:v>OPEN</x:v>
      </x:c>
      <x:c r="G438" s="21" t="str"/>
      <x:c r="H438" s="21" t="str"/>
    </x:row>
  </x:sheetData>
  <x:conditionalFormatting sqref="F5:F438">
    <x:cfRule type="containsText" dxfId="66" priority="1" operator="containsText" text="PASS"/>
    <x:cfRule type="containsText" dxfId="67" priority="2" operator="containsText" text="ACCEPTED"/>
    <x:cfRule type="containsText" dxfId="68" priority="3" operator="containsText" text="OPEN"/>
    <x:cfRule type="containsText" dxfId="69" priority="4" operator="containsText" text="BLOCKED"/>
    <x:cfRule type="containsText" dxfId="70" priority="5" operator="containsText" text="FAIL"/>
    <x:cfRule type="containsText" dxfId="71" priority="6" operator="containsText" text="STOP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15" hidden="0" customWidth="1"/>
    <x:col min="8" max="8" width="27" hidden="0" customWidth="1"/>
  </x:cols>
  <x:sheetData>
    <x:row r="1" ht="28" customHeight="1">
      <x:c r="A1" s="17" t="str">
        <x:v>Source terminal bins</x:v>
      </x:c>
      <x:c r="B1" s="17"/>
      <x:c r="C1" s="17"/>
      <x:c r="D1" s="17"/>
      <x:c r="E1" s="17"/>
      <x:c r="F1" s="17"/>
      <x:c r="G1" s="17"/>
      <x:c r="H1" s="17"/>
    </x:row>
    <x:row r="2" ht="34" customHeight="1">
      <x:c r="A2" s="18" t="str">
        <x:v>Observed values remain blank. Environmental and unaccounted totals share one fixed event-object budget.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Record</x:v>
      </x:c>
      <x:c r="B4" s="20" t="str">
        <x:v>Token</x:v>
      </x:c>
      <x:c r="C4" s="20" t="str">
        <x:v>Terminal bin</x:v>
      </x:c>
      <x:c r="D4" s="20" t="str">
        <x:v>Observed</x:v>
      </x:c>
      <x:c r="E4" s="20" t="str">
        <x:v>Uncertainty</x:v>
      </x:c>
      <x:c r="F4" s="20" t="str">
        <x:v>Unit</x:v>
      </x:c>
      <x:c r="G4" s="20" t="str">
        <x:v>State</x:v>
      </x:c>
      <x:c r="H4" s="20" t="str">
        <x:v>Evidence root</x:v>
      </x:c>
    </x:row>
    <x:row r="5">
      <x:c r="A5" s="21" t="str">
        <x:v>QE03-P01-S01</x:v>
      </x:c>
      <x:c r="B5" s="21" t="str">
        <x:v>QE03-P01</x:v>
      </x:c>
      <x:c r="C5" s="21" t="str">
        <x:v>source-vessel residual</x:v>
      </x:c>
      <x:c r="D5" s="21" t="str"/>
      <x:c r="E5" s="21" t="str"/>
      <x:c r="F5" s="21" t="str">
        <x:v>kg</x:v>
      </x:c>
      <x:c r="G5" s="21" t="str">
        <x:v>OPEN</x:v>
      </x:c>
      <x:c r="H5" s="21" t="str"/>
    </x:row>
    <x:row r="6">
      <x:c r="A6" s="21" t="str">
        <x:v>QE03-P01-S02</x:v>
      </x:c>
      <x:c r="B6" s="21" t="str">
        <x:v>QE03-P01</x:v>
      </x:c>
      <x:c r="C6" s="21" t="str">
        <x:v>dispenser residual</x:v>
      </x:c>
      <x:c r="D6" s="21" t="str"/>
      <x:c r="E6" s="21" t="str"/>
      <x:c r="F6" s="21" t="str">
        <x:v>kg</x:v>
      </x:c>
      <x:c r="G6" s="21" t="str">
        <x:v>OPEN</x:v>
      </x:c>
      <x:c r="H6" s="21" t="str"/>
    </x:row>
    <x:row r="7">
      <x:c r="A7" s="21" t="str">
        <x:v>QE03-P01-S03</x:v>
      </x:c>
      <x:c r="B7" s="21" t="str">
        <x:v>QE03-P01</x:v>
      </x:c>
      <x:c r="C7" s="21" t="str">
        <x:v>route hold-up</x:v>
      </x:c>
      <x:c r="D7" s="21" t="str"/>
      <x:c r="E7" s="21" t="str"/>
      <x:c r="F7" s="21" t="str">
        <x:v>kg</x:v>
      </x:c>
      <x:c r="G7" s="21" t="str">
        <x:v>OPEN</x:v>
      </x:c>
      <x:c r="H7" s="21" t="str"/>
    </x:row>
    <x:row r="8">
      <x:c r="A8" s="21" t="str">
        <x:v>QE03-P01-S04</x:v>
      </x:c>
      <x:c r="B8" s="21" t="str">
        <x:v>QE03-P01</x:v>
      </x:c>
      <x:c r="C8" s="21" t="str">
        <x:v>normal receiver</x:v>
      </x:c>
      <x:c r="D8" s="21" t="str"/>
      <x:c r="E8" s="21" t="str"/>
      <x:c r="F8" s="21" t="str">
        <x:v>kg</x:v>
      </x:c>
      <x:c r="G8" s="21" t="str">
        <x:v>OPEN</x:v>
      </x:c>
      <x:c r="H8" s="21" t="str"/>
    </x:row>
    <x:row r="9">
      <x:c r="A9" s="21" t="str">
        <x:v>QE03-P01-S05</x:v>
      </x:c>
      <x:c r="B9" s="21" t="str">
        <x:v>QE03-P01</x:v>
      </x:c>
      <x:c r="C9" s="21" t="str">
        <x:v>casualty receiver</x:v>
      </x:c>
      <x:c r="D9" s="21" t="str"/>
      <x:c r="E9" s="21" t="str"/>
      <x:c r="F9" s="21" t="str">
        <x:v>kg</x:v>
      </x:c>
      <x:c r="G9" s="21" t="str">
        <x:v>OPEN</x:v>
      </x:c>
      <x:c r="H9" s="21" t="str"/>
    </x:row>
    <x:row r="10">
      <x:c r="A10" s="21" t="str">
        <x:v>QE03-P01-S06</x:v>
      </x:c>
      <x:c r="B10" s="21" t="str">
        <x:v>QE03-P01</x:v>
      </x:c>
      <x:c r="C10" s="21" t="str">
        <x:v>capture surface</x:v>
      </x:c>
      <x:c r="D10" s="21" t="str"/>
      <x:c r="E10" s="21" t="str"/>
      <x:c r="F10" s="21" t="str">
        <x:v>kg</x:v>
      </x:c>
      <x:c r="G10" s="21" t="str">
        <x:v>OPEN</x:v>
      </x:c>
      <x:c r="H10" s="21" t="str"/>
    </x:row>
    <x:row r="11">
      <x:c r="A11" s="21" t="str">
        <x:v>QE03-P01-S07</x:v>
      </x:c>
      <x:c r="B11" s="21" t="str">
        <x:v>QE03-P01</x:v>
      </x:c>
      <x:c r="C11" s="21" t="str">
        <x:v>recovered source</x:v>
      </x:c>
      <x:c r="D11" s="21" t="str"/>
      <x:c r="E11" s="21" t="str"/>
      <x:c r="F11" s="21" t="str">
        <x:v>kg</x:v>
      </x:c>
      <x:c r="G11" s="21" t="str">
        <x:v>OPEN</x:v>
      </x:c>
      <x:c r="H11" s="21" t="str"/>
    </x:row>
    <x:row r="12">
      <x:c r="A12" s="21" t="str">
        <x:v>QE03-P01-S08</x:v>
      </x:c>
      <x:c r="B12" s="21" t="str">
        <x:v>QE03-P01</x:v>
      </x:c>
      <x:c r="C12" s="21" t="str">
        <x:v>samples</x:v>
      </x:c>
      <x:c r="D12" s="21" t="str"/>
      <x:c r="E12" s="21" t="str"/>
      <x:c r="F12" s="21" t="str">
        <x:v>kg</x:v>
      </x:c>
      <x:c r="G12" s="21" t="str">
        <x:v>OPEN</x:v>
      </x:c>
      <x:c r="H12" s="21" t="str"/>
    </x:row>
    <x:row r="13">
      <x:c r="A13" s="21" t="str">
        <x:v>QE03-P01-S09</x:v>
      </x:c>
      <x:c r="B13" s="21" t="str">
        <x:v>QE03-P01</x:v>
      </x:c>
      <x:c r="C13" s="21" t="str">
        <x:v>environmental source</x:v>
      </x:c>
      <x:c r="D13" s="21" t="str"/>
      <x:c r="E13" s="21" t="str"/>
      <x:c r="F13" s="21" t="str">
        <x:v>kg</x:v>
      </x:c>
      <x:c r="G13" s="21" t="str">
        <x:v>OPEN</x:v>
      </x:c>
      <x:c r="H13" s="21" t="str"/>
    </x:row>
    <x:row r="14">
      <x:c r="A14" s="21" t="str">
        <x:v>QE03-P01-S10</x:v>
      </x:c>
      <x:c r="B14" s="21" t="str">
        <x:v>QE03-P01</x:v>
      </x:c>
      <x:c r="C14" s="21" t="str">
        <x:v>unaccounted source</x:v>
      </x:c>
      <x:c r="D14" s="21" t="str"/>
      <x:c r="E14" s="21" t="str"/>
      <x:c r="F14" s="21" t="str">
        <x:v>kg</x:v>
      </x:c>
      <x:c r="G14" s="21" t="str">
        <x:v>OPEN</x:v>
      </x:c>
      <x:c r="H14" s="21" t="str"/>
    </x:row>
    <x:row r="15">
      <x:c r="A15" s="21" t="str">
        <x:v>QE03-R01-S01</x:v>
      </x:c>
      <x:c r="B15" s="21" t="str">
        <x:v>QE03-R01</x:v>
      </x:c>
      <x:c r="C15" s="21" t="str">
        <x:v>source-vessel residual</x:v>
      </x:c>
      <x:c r="D15" s="21" t="str"/>
      <x:c r="E15" s="21" t="str"/>
      <x:c r="F15" s="21" t="str">
        <x:v>kg</x:v>
      </x:c>
      <x:c r="G15" s="21" t="str">
        <x:v>OPEN</x:v>
      </x:c>
      <x:c r="H15" s="21" t="str"/>
    </x:row>
    <x:row r="16">
      <x:c r="A16" s="21" t="str">
        <x:v>QE03-R01-S02</x:v>
      </x:c>
      <x:c r="B16" s="21" t="str">
        <x:v>QE03-R01</x:v>
      </x:c>
      <x:c r="C16" s="21" t="str">
        <x:v>dispenser residual</x:v>
      </x:c>
      <x:c r="D16" s="21" t="str"/>
      <x:c r="E16" s="21" t="str"/>
      <x:c r="F16" s="21" t="str">
        <x:v>kg</x:v>
      </x:c>
      <x:c r="G16" s="21" t="str">
        <x:v>OPEN</x:v>
      </x:c>
      <x:c r="H16" s="21" t="str"/>
    </x:row>
    <x:row r="17">
      <x:c r="A17" s="21" t="str">
        <x:v>QE03-R01-S03</x:v>
      </x:c>
      <x:c r="B17" s="21" t="str">
        <x:v>QE03-R01</x:v>
      </x:c>
      <x:c r="C17" s="21" t="str">
        <x:v>route hold-up</x:v>
      </x:c>
      <x:c r="D17" s="21" t="str"/>
      <x:c r="E17" s="21" t="str"/>
      <x:c r="F17" s="21" t="str">
        <x:v>kg</x:v>
      </x:c>
      <x:c r="G17" s="21" t="str">
        <x:v>OPEN</x:v>
      </x:c>
      <x:c r="H17" s="21" t="str"/>
    </x:row>
    <x:row r="18">
      <x:c r="A18" s="21" t="str">
        <x:v>QE03-R01-S04</x:v>
      </x:c>
      <x:c r="B18" s="21" t="str">
        <x:v>QE03-R01</x:v>
      </x:c>
      <x:c r="C18" s="21" t="str">
        <x:v>normal receiver</x:v>
      </x:c>
      <x:c r="D18" s="21" t="str"/>
      <x:c r="E18" s="21" t="str"/>
      <x:c r="F18" s="21" t="str">
        <x:v>kg</x:v>
      </x:c>
      <x:c r="G18" s="21" t="str">
        <x:v>OPEN</x:v>
      </x:c>
      <x:c r="H18" s="21" t="str"/>
    </x:row>
    <x:row r="19">
      <x:c r="A19" s="21" t="str">
        <x:v>QE03-R01-S05</x:v>
      </x:c>
      <x:c r="B19" s="21" t="str">
        <x:v>QE03-R01</x:v>
      </x:c>
      <x:c r="C19" s="21" t="str">
        <x:v>casualty receiver</x:v>
      </x:c>
      <x:c r="D19" s="21" t="str"/>
      <x:c r="E19" s="21" t="str"/>
      <x:c r="F19" s="21" t="str">
        <x:v>kg</x:v>
      </x:c>
      <x:c r="G19" s="21" t="str">
        <x:v>OPEN</x:v>
      </x:c>
      <x:c r="H19" s="21" t="str"/>
    </x:row>
    <x:row r="20">
      <x:c r="A20" s="21" t="str">
        <x:v>QE03-R01-S06</x:v>
      </x:c>
      <x:c r="B20" s="21" t="str">
        <x:v>QE03-R01</x:v>
      </x:c>
      <x:c r="C20" s="21" t="str">
        <x:v>capture surface</x:v>
      </x:c>
      <x:c r="D20" s="21" t="str"/>
      <x:c r="E20" s="21" t="str"/>
      <x:c r="F20" s="21" t="str">
        <x:v>kg</x:v>
      </x:c>
      <x:c r="G20" s="21" t="str">
        <x:v>OPEN</x:v>
      </x:c>
      <x:c r="H20" s="21" t="str"/>
    </x:row>
    <x:row r="21">
      <x:c r="A21" s="21" t="str">
        <x:v>QE03-R01-S07</x:v>
      </x:c>
      <x:c r="B21" s="21" t="str">
        <x:v>QE03-R01</x:v>
      </x:c>
      <x:c r="C21" s="21" t="str">
        <x:v>recovered source</x:v>
      </x:c>
      <x:c r="D21" s="21" t="str"/>
      <x:c r="E21" s="21" t="str"/>
      <x:c r="F21" s="21" t="str">
        <x:v>kg</x:v>
      </x:c>
      <x:c r="G21" s="21" t="str">
        <x:v>OPEN</x:v>
      </x:c>
      <x:c r="H21" s="21" t="str"/>
    </x:row>
    <x:row r="22">
      <x:c r="A22" s="21" t="str">
        <x:v>QE03-R01-S08</x:v>
      </x:c>
      <x:c r="B22" s="21" t="str">
        <x:v>QE03-R01</x:v>
      </x:c>
      <x:c r="C22" s="21" t="str">
        <x:v>samples</x:v>
      </x:c>
      <x:c r="D22" s="21" t="str"/>
      <x:c r="E22" s="21" t="str"/>
      <x:c r="F22" s="21" t="str">
        <x:v>kg</x:v>
      </x:c>
      <x:c r="G22" s="21" t="str">
        <x:v>OPEN</x:v>
      </x:c>
      <x:c r="H22" s="21" t="str"/>
    </x:row>
    <x:row r="23">
      <x:c r="A23" s="21" t="str">
        <x:v>QE03-R01-S09</x:v>
      </x:c>
      <x:c r="B23" s="21" t="str">
        <x:v>QE03-R01</x:v>
      </x:c>
      <x:c r="C23" s="21" t="str">
        <x:v>environmental source</x:v>
      </x:c>
      <x:c r="D23" s="21" t="str"/>
      <x:c r="E23" s="21" t="str"/>
      <x:c r="F23" s="21" t="str">
        <x:v>kg</x:v>
      </x:c>
      <x:c r="G23" s="21" t="str">
        <x:v>OPEN</x:v>
      </x:c>
      <x:c r="H23" s="21" t="str"/>
    </x:row>
    <x:row r="24">
      <x:c r="A24" s="21" t="str">
        <x:v>QE03-R01-S10</x:v>
      </x:c>
      <x:c r="B24" s="21" t="str">
        <x:v>QE03-R01</x:v>
      </x:c>
      <x:c r="C24" s="21" t="str">
        <x:v>unaccounted source</x:v>
      </x:c>
      <x:c r="D24" s="21" t="str"/>
      <x:c r="E24" s="21" t="str"/>
      <x:c r="F24" s="21" t="str">
        <x:v>kg</x:v>
      </x:c>
      <x:c r="G24" s="21" t="str">
        <x:v>OPEN</x:v>
      </x:c>
      <x:c r="H24" s="21" t="str"/>
    </x:row>
  </x:sheetData>
  <x:conditionalFormatting sqref="G5:G24">
    <x:cfRule type="containsText" dxfId="72" priority="1" operator="containsText" text="PASS"/>
    <x:cfRule type="containsText" dxfId="73" priority="2" operator="containsText" text="ACCEPTED"/>
    <x:cfRule type="containsText" dxfId="74" priority="3" operator="containsText" text="OPEN"/>
    <x:cfRule type="containsText" dxfId="75" priority="4" operator="containsText" text="BLOCKED"/>
    <x:cfRule type="containsText" dxfId="76" priority="5" operator="containsText" text="FAIL"/>
    <x:cfRule type="containsText" dxfId="77" priority="6" operator="containsText" text="STOP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27" hidden="0" customWidth="1"/>
    <x:col min="4" max="4" width="24" hidden="0" customWidth="1"/>
    <x:col min="5" max="5" width="23" hidden="0" customWidth="1"/>
    <x:col min="6" max="6" width="24" hidden="0" customWidth="1"/>
    <x:col min="7" max="7" width="21" hidden="0" customWidth="1"/>
    <x:col min="8" max="8" width="15" hidden="0" customWidth="1"/>
    <x:col min="9" max="9" width="65" hidden="0" customWidth="1"/>
  </x:cols>
  <x:sheetData>
    <x:row r="1" ht="28" customHeight="1">
      <x:c r="A1" s="17" t="str">
        <x:v>Separate water account</x:v>
      </x:c>
      <x:c r="B1" s="17"/>
      <x:c r="C1" s="17"/>
      <x:c r="D1" s="17"/>
      <x:c r="E1" s="17"/>
      <x:c r="F1" s="17"/>
      <x:c r="G1" s="17"/>
      <x:c r="H1" s="17"/>
      <x:c r="I1" s="17"/>
    </x:row>
    <x:row r="2" ht="34" customHeight="1">
      <x:c r="A2" s="18" t="str">
        <x:v>AM-05 begins with observed zero method water. Public intervention never becomes method performance.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</x:row>
    <x:row r="4">
      <x:c r="A4" s="20" t="str">
        <x:v>Record</x:v>
      </x:c>
      <x:c r="B4" s="20" t="str">
        <x:v>Token</x:v>
      </x:c>
      <x:c r="C4" s="20" t="str">
        <x:v>Registered method water m3</x:v>
      </x:c>
      <x:c r="D4" s="20" t="str">
        <x:v>Observed initial m3</x:v>
      </x:c>
      <x:c r="E4" s="20" t="str">
        <x:v>Public water used m3</x:v>
      </x:c>
      <x:c r="F4" s="20" t="str">
        <x:v>Casualty package m3</x:v>
      </x:c>
      <x:c r="G4" s="20" t="str">
        <x:v>Source in water kg</x:v>
      </x:c>
      <x:c r="H4" s="20" t="str">
        <x:v>State</x:v>
      </x:c>
      <x:c r="I4" s="20" t="str">
        <x:v>Rule</x:v>
      </x:c>
    </x:row>
    <x:row r="5">
      <x:c r="A5" s="21" t="str">
        <x:v>QE03-P01-W01</x:v>
      </x:c>
      <x:c r="B5" s="21" t="str">
        <x:v>QE03-P01</x:v>
      </x:c>
      <x:c r="C5" s="21" t="n">
        <x:v>0</x:v>
      </x:c>
      <x:c r="D5" s="21" t="str"/>
      <x:c r="E5" s="21" t="str"/>
      <x:c r="F5" s="21" t="n">
        <x:v>120</x:v>
      </x:c>
      <x:c r="G5" s="21" t="str"/>
      <x:c r="H5" s="21" t="str">
        <x:v>OPEN</x:v>
      </x:c>
      <x:c r="I5" s="21" t="str">
        <x:v>initial method water must be numeric zero; public water remains separate</x:v>
      </x:c>
    </x:row>
    <x:row r="6">
      <x:c r="A6" s="21" t="str">
        <x:v>QE03-R01-W01</x:v>
      </x:c>
      <x:c r="B6" s="21" t="str">
        <x:v>QE03-R01</x:v>
      </x:c>
      <x:c r="C6" s="21" t="n">
        <x:v>0</x:v>
      </x:c>
      <x:c r="D6" s="21" t="str"/>
      <x:c r="E6" s="21" t="str"/>
      <x:c r="F6" s="21" t="n">
        <x:v>120</x:v>
      </x:c>
      <x:c r="G6" s="21" t="str"/>
      <x:c r="H6" s="21" t="str">
        <x:v>OPEN</x:v>
      </x:c>
      <x:c r="I6" s="21" t="str">
        <x:v>initial method water must be numeric zero; public water remains separate</x:v>
      </x:c>
    </x:row>
  </x:sheetData>
  <x:conditionalFormatting sqref="H5:H6">
    <x:cfRule type="containsText" dxfId="78" priority="1" operator="containsText" text="PASS"/>
    <x:cfRule type="containsText" dxfId="79" priority="2" operator="containsText" text="ACCEPTED"/>
    <x:cfRule type="containsText" dxfId="80" priority="3" operator="containsText" text="OPEN"/>
    <x:cfRule type="containsText" dxfId="81" priority="4" operator="containsText" text="BLOCKED"/>
    <x:cfRule type="containsText" dxfId="82" priority="5" operator="containsText" text="FAIL"/>
    <x:cfRule type="containsText" dxfId="83" priority="6" operator="containsText" text="STOP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4" hidden="0" customWidth="1"/>
    <x:col min="4" max="4" width="31" hidden="0" customWidth="1"/>
    <x:col min="5" max="5" width="22" hidden="0" customWidth="1"/>
    <x:col min="6" max="6" width="22" hidden="0" customWidth="1"/>
    <x:col min="7" max="7" width="14" hidden="0" customWidth="1"/>
    <x:col min="8" max="8" width="18" hidden="0" customWidth="1"/>
  </x:cols>
  <x:sheetData>
    <x:row r="1" ht="28" customHeight="1">
      <x:c r="A1" s="17" t="str">
        <x:v>Source-mass uncertainty</x:v>
      </x:c>
      <x:c r="B1" s="17"/>
      <x:c r="C1" s="17"/>
      <x:c r="D1" s="17"/>
      <x:c r="E1" s="17"/>
      <x:c r="F1" s="17"/>
      <x:c r="G1" s="17"/>
      <x:c r="H1" s="17"/>
    </x:row>
    <x:row r="2" ht="34" customHeight="1">
      <x:c r="A2" s="18" t="str">
        <x:v>Allocations are hypotheses. Covariance must be added when roots share calibration or processing.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Record</x:v>
      </x:c>
      <x:c r="B4" s="20" t="str">
        <x:v>Token</x:v>
      </x:c>
      <x:c r="C4" s="20" t="str">
        <x:v>Root</x:v>
      </x:c>
      <x:c r="D4" s="20" t="str">
        <x:v>Component</x:v>
      </x:c>
      <x:c r="E4" s="20" t="str">
        <x:v>Standard allocation</x:v>
      </x:c>
      <x:c r="F4" s="20" t="str">
        <x:v>Observed standard</x:v>
      </x:c>
      <x:c r="G4" s="20" t="str">
        <x:v>Unit</x:v>
      </x:c>
      <x:c r="H4" s="20" t="str">
        <x:v>State</x:v>
      </x:c>
    </x:row>
    <x:row r="5">
      <x:c r="A5" s="21" t="str">
        <x:v>QE03-P01-TR-A-01</x:v>
      </x:c>
      <x:c r="B5" s="21" t="str">
        <x:v>QE03-P01</x:v>
      </x:c>
      <x:c r="C5" s="21" t="str">
        <x:v>TR-A</x:v>
      </x:c>
      <x:c r="D5" s="21" t="str">
        <x:v>source-vessel mass</x:v>
      </x:c>
      <x:c r="E5" s="21" t="n">
        <x:v>0.4</x:v>
      </x:c>
      <x:c r="F5" s="21" t="str"/>
      <x:c r="G5" s="21" t="str">
        <x:v>kg</x:v>
      </x:c>
      <x:c r="H5" s="21" t="str">
        <x:v>OPEN</x:v>
      </x:c>
    </x:row>
    <x:row r="6">
      <x:c r="A6" s="21" t="str">
        <x:v>QE03-P01-TR-A-02</x:v>
      </x:c>
      <x:c r="B6" s="21" t="str">
        <x:v>QE03-P01</x:v>
      </x:c>
      <x:c r="C6" s="21" t="str">
        <x:v>TR-A</x:v>
      </x:c>
      <x:c r="D6" s="21" t="str">
        <x:v>transfer state</x:v>
      </x:c>
      <x:c r="E6" s="21" t="n">
        <x:v>0.35</x:v>
      </x:c>
      <x:c r="F6" s="21" t="str"/>
      <x:c r="G6" s="21" t="str">
        <x:v>kg</x:v>
      </x:c>
      <x:c r="H6" s="21" t="str">
        <x:v>OPEN</x:v>
      </x:c>
    </x:row>
    <x:row r="7">
      <x:c r="A7" s="21" t="str">
        <x:v>QE03-P01-TR-A-03</x:v>
      </x:c>
      <x:c r="B7" s="21" t="str">
        <x:v>QE03-P01</x:v>
      </x:c>
      <x:c r="C7" s="21" t="str">
        <x:v>TR-A</x:v>
      </x:c>
      <x:c r="D7" s="21" t="str">
        <x:v>dynamic route hold-up</x:v>
      </x:c>
      <x:c r="E7" s="21" t="n">
        <x:v>0.55</x:v>
      </x:c>
      <x:c r="F7" s="21" t="str"/>
      <x:c r="G7" s="21" t="str">
        <x:v>kg</x:v>
      </x:c>
      <x:c r="H7" s="21" t="str">
        <x:v>OPEN</x:v>
      </x:c>
    </x:row>
    <x:row r="8">
      <x:c r="A8" s="21" t="str">
        <x:v>QE03-P01-TR-A-04</x:v>
      </x:c>
      <x:c r="B8" s="21" t="str">
        <x:v>QE03-P01</x:v>
      </x:c>
      <x:c r="C8" s="21" t="str">
        <x:v>TR-A</x:v>
      </x:c>
      <x:c r="D8" s="21" t="str">
        <x:v>receiver inventory</x:v>
      </x:c>
      <x:c r="E8" s="21" t="n">
        <x:v>0.45</x:v>
      </x:c>
      <x:c r="F8" s="21" t="str"/>
      <x:c r="G8" s="21" t="str">
        <x:v>kg</x:v>
      </x:c>
      <x:c r="H8" s="21" t="str">
        <x:v>OPEN</x:v>
      </x:c>
    </x:row>
    <x:row r="9">
      <x:c r="A9" s="21" t="str">
        <x:v>QE03-P01-TR-A-05</x:v>
      </x:c>
      <x:c r="B9" s="21" t="str">
        <x:v>QE03-P01</x:v>
      </x:c>
      <x:c r="C9" s="21" t="str">
        <x:v>TR-A</x:v>
      </x:c>
      <x:c r="D9" s="21" t="str">
        <x:v>samples and retained material</x:v>
      </x:c>
      <x:c r="E9" s="21" t="n">
        <x:v>0.35</x:v>
      </x:c>
      <x:c r="F9" s="21" t="str"/>
      <x:c r="G9" s="21" t="str">
        <x:v>kg</x:v>
      </x:c>
      <x:c r="H9" s="21" t="str">
        <x:v>OPEN</x:v>
      </x:c>
    </x:row>
    <x:row r="10">
      <x:c r="A10" s="21" t="str">
        <x:v>QE03-P01-TR-A-06</x:v>
      </x:c>
      <x:c r="B10" s="21" t="str">
        <x:v>QE03-P01</x:v>
      </x:c>
      <x:c r="C10" s="21" t="str">
        <x:v>TR-A</x:v>
      </x:c>
      <x:c r="D10" s="21" t="str">
        <x:v>causal-time association</x:v>
      </x:c>
      <x:c r="E10" s="21" t="n">
        <x:v>0.25</x:v>
      </x:c>
      <x:c r="F10" s="21" t="str"/>
      <x:c r="G10" s="21" t="str">
        <x:v>kg</x:v>
      </x:c>
      <x:c r="H10" s="21" t="str">
        <x:v>OPEN</x:v>
      </x:c>
    </x:row>
    <x:row r="11">
      <x:c r="A11" s="21" t="str">
        <x:v>QE03-P01-TR-A-07</x:v>
      </x:c>
      <x:c r="B11" s="21" t="str">
        <x:v>QE03-P01</x:v>
      </x:c>
      <x:c r="C11" s="21" t="str">
        <x:v>TR-A</x:v>
      </x:c>
      <x:c r="D11" s="21" t="str">
        <x:v>environmental inventory</x:v>
      </x:c>
      <x:c r="E11" s="21" t="n">
        <x:v>0.2</x:v>
      </x:c>
      <x:c r="F11" s="21" t="str"/>
      <x:c r="G11" s="21" t="str">
        <x:v>kg</x:v>
      </x:c>
      <x:c r="H11" s="21" t="str">
        <x:v>OPEN</x:v>
      </x:c>
    </x:row>
    <x:row r="12">
      <x:c r="A12" s="21" t="str">
        <x:v>QE03-P01-TR-B-01</x:v>
      </x:c>
      <x:c r="B12" s="21" t="str">
        <x:v>QE03-P01</x:v>
      </x:c>
      <x:c r="C12" s="21" t="str">
        <x:v>TR-B</x:v>
      </x:c>
      <x:c r="D12" s="21" t="str">
        <x:v>source-vessel mass</x:v>
      </x:c>
      <x:c r="E12" s="21" t="n">
        <x:v>0.4</x:v>
      </x:c>
      <x:c r="F12" s="21" t="str"/>
      <x:c r="G12" s="21" t="str">
        <x:v>kg</x:v>
      </x:c>
      <x:c r="H12" s="21" t="str">
        <x:v>OPEN</x:v>
      </x:c>
    </x:row>
    <x:row r="13">
      <x:c r="A13" s="21" t="str">
        <x:v>QE03-P01-TR-B-02</x:v>
      </x:c>
      <x:c r="B13" s="21" t="str">
        <x:v>QE03-P01</x:v>
      </x:c>
      <x:c r="C13" s="21" t="str">
        <x:v>TR-B</x:v>
      </x:c>
      <x:c r="D13" s="21" t="str">
        <x:v>transfer state</x:v>
      </x:c>
      <x:c r="E13" s="21" t="n">
        <x:v>0.35</x:v>
      </x:c>
      <x:c r="F13" s="21" t="str"/>
      <x:c r="G13" s="21" t="str">
        <x:v>kg</x:v>
      </x:c>
      <x:c r="H13" s="21" t="str">
        <x:v>OPEN</x:v>
      </x:c>
    </x:row>
    <x:row r="14">
      <x:c r="A14" s="21" t="str">
        <x:v>QE03-P01-TR-B-03</x:v>
      </x:c>
      <x:c r="B14" s="21" t="str">
        <x:v>QE03-P01</x:v>
      </x:c>
      <x:c r="C14" s="21" t="str">
        <x:v>TR-B</x:v>
      </x:c>
      <x:c r="D14" s="21" t="str">
        <x:v>dynamic route hold-up</x:v>
      </x:c>
      <x:c r="E14" s="21" t="n">
        <x:v>0.55</x:v>
      </x:c>
      <x:c r="F14" s="21" t="str"/>
      <x:c r="G14" s="21" t="str">
        <x:v>kg</x:v>
      </x:c>
      <x:c r="H14" s="21" t="str">
        <x:v>OPEN</x:v>
      </x:c>
    </x:row>
    <x:row r="15">
      <x:c r="A15" s="21" t="str">
        <x:v>QE03-P01-TR-B-04</x:v>
      </x:c>
      <x:c r="B15" s="21" t="str">
        <x:v>QE03-P01</x:v>
      </x:c>
      <x:c r="C15" s="21" t="str">
        <x:v>TR-B</x:v>
      </x:c>
      <x:c r="D15" s="21" t="str">
        <x:v>receiver inventory</x:v>
      </x:c>
      <x:c r="E15" s="21" t="n">
        <x:v>0.45</x:v>
      </x:c>
      <x:c r="F15" s="21" t="str"/>
      <x:c r="G15" s="21" t="str">
        <x:v>kg</x:v>
      </x:c>
      <x:c r="H15" s="21" t="str">
        <x:v>OPEN</x:v>
      </x:c>
    </x:row>
    <x:row r="16">
      <x:c r="A16" s="21" t="str">
        <x:v>QE03-P01-TR-B-05</x:v>
      </x:c>
      <x:c r="B16" s="21" t="str">
        <x:v>QE03-P01</x:v>
      </x:c>
      <x:c r="C16" s="21" t="str">
        <x:v>TR-B</x:v>
      </x:c>
      <x:c r="D16" s="21" t="str">
        <x:v>samples and retained material</x:v>
      </x:c>
      <x:c r="E16" s="21" t="n">
        <x:v>0.35</x:v>
      </x:c>
      <x:c r="F16" s="21" t="str"/>
      <x:c r="G16" s="21" t="str">
        <x:v>kg</x:v>
      </x:c>
      <x:c r="H16" s="21" t="str">
        <x:v>OPEN</x:v>
      </x:c>
    </x:row>
    <x:row r="17">
      <x:c r="A17" s="21" t="str">
        <x:v>QE03-P01-TR-B-06</x:v>
      </x:c>
      <x:c r="B17" s="21" t="str">
        <x:v>QE03-P01</x:v>
      </x:c>
      <x:c r="C17" s="21" t="str">
        <x:v>TR-B</x:v>
      </x:c>
      <x:c r="D17" s="21" t="str">
        <x:v>causal-time association</x:v>
      </x:c>
      <x:c r="E17" s="21" t="n">
        <x:v>0.25</x:v>
      </x:c>
      <x:c r="F17" s="21" t="str"/>
      <x:c r="G17" s="21" t="str">
        <x:v>kg</x:v>
      </x:c>
      <x:c r="H17" s="21" t="str">
        <x:v>OPEN</x:v>
      </x:c>
    </x:row>
    <x:row r="18">
      <x:c r="A18" s="21" t="str">
        <x:v>QE03-P01-TR-B-07</x:v>
      </x:c>
      <x:c r="B18" s="21" t="str">
        <x:v>QE03-P01</x:v>
      </x:c>
      <x:c r="C18" s="21" t="str">
        <x:v>TR-B</x:v>
      </x:c>
      <x:c r="D18" s="21" t="str">
        <x:v>environmental inventory</x:v>
      </x:c>
      <x:c r="E18" s="21" t="n">
        <x:v>0.2</x:v>
      </x:c>
      <x:c r="F18" s="21" t="str"/>
      <x:c r="G18" s="21" t="str">
        <x:v>kg</x:v>
      </x:c>
      <x:c r="H18" s="21" t="str">
        <x:v>OPEN</x:v>
      </x:c>
    </x:row>
    <x:row r="19">
      <x:c r="A19" s="21" t="str">
        <x:v>QE03-R01-TR-A-01</x:v>
      </x:c>
      <x:c r="B19" s="21" t="str">
        <x:v>QE03-R01</x:v>
      </x:c>
      <x:c r="C19" s="21" t="str">
        <x:v>TR-A</x:v>
      </x:c>
      <x:c r="D19" s="21" t="str">
        <x:v>source-vessel mass</x:v>
      </x:c>
      <x:c r="E19" s="21" t="n">
        <x:v>0.4</x:v>
      </x:c>
      <x:c r="F19" s="21" t="str"/>
      <x:c r="G19" s="21" t="str">
        <x:v>kg</x:v>
      </x:c>
      <x:c r="H19" s="21" t="str">
        <x:v>OPEN</x:v>
      </x:c>
    </x:row>
    <x:row r="20">
      <x:c r="A20" s="21" t="str">
        <x:v>QE03-R01-TR-A-02</x:v>
      </x:c>
      <x:c r="B20" s="21" t="str">
        <x:v>QE03-R01</x:v>
      </x:c>
      <x:c r="C20" s="21" t="str">
        <x:v>TR-A</x:v>
      </x:c>
      <x:c r="D20" s="21" t="str">
        <x:v>transfer state</x:v>
      </x:c>
      <x:c r="E20" s="21" t="n">
        <x:v>0.35</x:v>
      </x:c>
      <x:c r="F20" s="21" t="str"/>
      <x:c r="G20" s="21" t="str">
        <x:v>kg</x:v>
      </x:c>
      <x:c r="H20" s="21" t="str">
        <x:v>OPEN</x:v>
      </x:c>
    </x:row>
    <x:row r="21">
      <x:c r="A21" s="21" t="str">
        <x:v>QE03-R01-TR-A-03</x:v>
      </x:c>
      <x:c r="B21" s="21" t="str">
        <x:v>QE03-R01</x:v>
      </x:c>
      <x:c r="C21" s="21" t="str">
        <x:v>TR-A</x:v>
      </x:c>
      <x:c r="D21" s="21" t="str">
        <x:v>dynamic route hold-up</x:v>
      </x:c>
      <x:c r="E21" s="21" t="n">
        <x:v>0.55</x:v>
      </x:c>
      <x:c r="F21" s="21" t="str"/>
      <x:c r="G21" s="21" t="str">
        <x:v>kg</x:v>
      </x:c>
      <x:c r="H21" s="21" t="str">
        <x:v>OPEN</x:v>
      </x:c>
    </x:row>
    <x:row r="22">
      <x:c r="A22" s="21" t="str">
        <x:v>QE03-R01-TR-A-04</x:v>
      </x:c>
      <x:c r="B22" s="21" t="str">
        <x:v>QE03-R01</x:v>
      </x:c>
      <x:c r="C22" s="21" t="str">
        <x:v>TR-A</x:v>
      </x:c>
      <x:c r="D22" s="21" t="str">
        <x:v>receiver inventory</x:v>
      </x:c>
      <x:c r="E22" s="21" t="n">
        <x:v>0.45</x:v>
      </x:c>
      <x:c r="F22" s="21" t="str"/>
      <x:c r="G22" s="21" t="str">
        <x:v>kg</x:v>
      </x:c>
      <x:c r="H22" s="21" t="str">
        <x:v>OPEN</x:v>
      </x:c>
    </x:row>
    <x:row r="23">
      <x:c r="A23" s="21" t="str">
        <x:v>QE03-R01-TR-A-05</x:v>
      </x:c>
      <x:c r="B23" s="21" t="str">
        <x:v>QE03-R01</x:v>
      </x:c>
      <x:c r="C23" s="21" t="str">
        <x:v>TR-A</x:v>
      </x:c>
      <x:c r="D23" s="21" t="str">
        <x:v>samples and retained material</x:v>
      </x:c>
      <x:c r="E23" s="21" t="n">
        <x:v>0.35</x:v>
      </x:c>
      <x:c r="F23" s="21" t="str"/>
      <x:c r="G23" s="21" t="str">
        <x:v>kg</x:v>
      </x:c>
      <x:c r="H23" s="21" t="str">
        <x:v>OPEN</x:v>
      </x:c>
    </x:row>
    <x:row r="24">
      <x:c r="A24" s="21" t="str">
        <x:v>QE03-R01-TR-A-06</x:v>
      </x:c>
      <x:c r="B24" s="21" t="str">
        <x:v>QE03-R01</x:v>
      </x:c>
      <x:c r="C24" s="21" t="str">
        <x:v>TR-A</x:v>
      </x:c>
      <x:c r="D24" s="21" t="str">
        <x:v>causal-time association</x:v>
      </x:c>
      <x:c r="E24" s="21" t="n">
        <x:v>0.25</x:v>
      </x:c>
      <x:c r="F24" s="21" t="str"/>
      <x:c r="G24" s="21" t="str">
        <x:v>kg</x:v>
      </x:c>
      <x:c r="H24" s="21" t="str">
        <x:v>OPEN</x:v>
      </x:c>
    </x:row>
    <x:row r="25">
      <x:c r="A25" s="21" t="str">
        <x:v>QE03-R01-TR-A-07</x:v>
      </x:c>
      <x:c r="B25" s="21" t="str">
        <x:v>QE03-R01</x:v>
      </x:c>
      <x:c r="C25" s="21" t="str">
        <x:v>TR-A</x:v>
      </x:c>
      <x:c r="D25" s="21" t="str">
        <x:v>environmental inventory</x:v>
      </x:c>
      <x:c r="E25" s="21" t="n">
        <x:v>0.2</x:v>
      </x:c>
      <x:c r="F25" s="21" t="str"/>
      <x:c r="G25" s="21" t="str">
        <x:v>kg</x:v>
      </x:c>
      <x:c r="H25" s="21" t="str">
        <x:v>OPEN</x:v>
      </x:c>
    </x:row>
    <x:row r="26">
      <x:c r="A26" s="21" t="str">
        <x:v>QE03-R01-TR-B-01</x:v>
      </x:c>
      <x:c r="B26" s="21" t="str">
        <x:v>QE03-R01</x:v>
      </x:c>
      <x:c r="C26" s="21" t="str">
        <x:v>TR-B</x:v>
      </x:c>
      <x:c r="D26" s="21" t="str">
        <x:v>source-vessel mass</x:v>
      </x:c>
      <x:c r="E26" s="21" t="n">
        <x:v>0.4</x:v>
      </x:c>
      <x:c r="F26" s="21" t="str"/>
      <x:c r="G26" s="21" t="str">
        <x:v>kg</x:v>
      </x:c>
      <x:c r="H26" s="21" t="str">
        <x:v>OPEN</x:v>
      </x:c>
    </x:row>
    <x:row r="27">
      <x:c r="A27" s="21" t="str">
        <x:v>QE03-R01-TR-B-02</x:v>
      </x:c>
      <x:c r="B27" s="21" t="str">
        <x:v>QE03-R01</x:v>
      </x:c>
      <x:c r="C27" s="21" t="str">
        <x:v>TR-B</x:v>
      </x:c>
      <x:c r="D27" s="21" t="str">
        <x:v>transfer state</x:v>
      </x:c>
      <x:c r="E27" s="21" t="n">
        <x:v>0.35</x:v>
      </x:c>
      <x:c r="F27" s="21" t="str"/>
      <x:c r="G27" s="21" t="str">
        <x:v>kg</x:v>
      </x:c>
      <x:c r="H27" s="21" t="str">
        <x:v>OPEN</x:v>
      </x:c>
    </x:row>
    <x:row r="28">
      <x:c r="A28" s="21" t="str">
        <x:v>QE03-R01-TR-B-03</x:v>
      </x:c>
      <x:c r="B28" s="21" t="str">
        <x:v>QE03-R01</x:v>
      </x:c>
      <x:c r="C28" s="21" t="str">
        <x:v>TR-B</x:v>
      </x:c>
      <x:c r="D28" s="21" t="str">
        <x:v>dynamic route hold-up</x:v>
      </x:c>
      <x:c r="E28" s="21" t="n">
        <x:v>0.55</x:v>
      </x:c>
      <x:c r="F28" s="21" t="str"/>
      <x:c r="G28" s="21" t="str">
        <x:v>kg</x:v>
      </x:c>
      <x:c r="H28" s="21" t="str">
        <x:v>OPEN</x:v>
      </x:c>
    </x:row>
    <x:row r="29">
      <x:c r="A29" s="21" t="str">
        <x:v>QE03-R01-TR-B-04</x:v>
      </x:c>
      <x:c r="B29" s="21" t="str">
        <x:v>QE03-R01</x:v>
      </x:c>
      <x:c r="C29" s="21" t="str">
        <x:v>TR-B</x:v>
      </x:c>
      <x:c r="D29" s="21" t="str">
        <x:v>receiver inventory</x:v>
      </x:c>
      <x:c r="E29" s="21" t="n">
        <x:v>0.45</x:v>
      </x:c>
      <x:c r="F29" s="21" t="str"/>
      <x:c r="G29" s="21" t="str">
        <x:v>kg</x:v>
      </x:c>
      <x:c r="H29" s="21" t="str">
        <x:v>OPEN</x:v>
      </x:c>
    </x:row>
    <x:row r="30">
      <x:c r="A30" s="21" t="str">
        <x:v>QE03-R01-TR-B-05</x:v>
      </x:c>
      <x:c r="B30" s="21" t="str">
        <x:v>QE03-R01</x:v>
      </x:c>
      <x:c r="C30" s="21" t="str">
        <x:v>TR-B</x:v>
      </x:c>
      <x:c r="D30" s="21" t="str">
        <x:v>samples and retained material</x:v>
      </x:c>
      <x:c r="E30" s="21" t="n">
        <x:v>0.35</x:v>
      </x:c>
      <x:c r="F30" s="21" t="str"/>
      <x:c r="G30" s="21" t="str">
        <x:v>kg</x:v>
      </x:c>
      <x:c r="H30" s="21" t="str">
        <x:v>OPEN</x:v>
      </x:c>
    </x:row>
    <x:row r="31">
      <x:c r="A31" s="21" t="str">
        <x:v>QE03-R01-TR-B-06</x:v>
      </x:c>
      <x:c r="B31" s="21" t="str">
        <x:v>QE03-R01</x:v>
      </x:c>
      <x:c r="C31" s="21" t="str">
        <x:v>TR-B</x:v>
      </x:c>
      <x:c r="D31" s="21" t="str">
        <x:v>causal-time association</x:v>
      </x:c>
      <x:c r="E31" s="21" t="n">
        <x:v>0.25</x:v>
      </x:c>
      <x:c r="F31" s="21" t="str"/>
      <x:c r="G31" s="21" t="str">
        <x:v>kg</x:v>
      </x:c>
      <x:c r="H31" s="21" t="str">
        <x:v>OPEN</x:v>
      </x:c>
    </x:row>
    <x:row r="32">
      <x:c r="A32" s="21" t="str">
        <x:v>QE03-R01-TR-B-07</x:v>
      </x:c>
      <x:c r="B32" s="21" t="str">
        <x:v>QE03-R01</x:v>
      </x:c>
      <x:c r="C32" s="21" t="str">
        <x:v>TR-B</x:v>
      </x:c>
      <x:c r="D32" s="21" t="str">
        <x:v>environmental inventory</x:v>
      </x:c>
      <x:c r="E32" s="21" t="n">
        <x:v>0.2</x:v>
      </x:c>
      <x:c r="F32" s="21" t="str"/>
      <x:c r="G32" s="21" t="str">
        <x:v>kg</x:v>
      </x:c>
      <x:c r="H32" s="21" t="str">
        <x:v>OPEN</x:v>
      </x:c>
    </x:row>
    <x:row r="33">
      <x:c r="A33" s="21" t="str">
        <x:v>DESIGN-RSS</x:v>
      </x:c>
      <x:c r="B33" s="21" t="str">
        <x:v>design</x:v>
      </x:c>
      <x:c r="C33" s="21" t="str">
        <x:v>both</x:v>
      </x:c>
      <x:c r="D33" s="21" t="str">
        <x:v>root-sum-square standard</x:v>
      </x:c>
      <x:c r="E33" s="21" t="n">
        <x:f>SQRT(SUMPRODUCT(E5:E11,E5:E11))</x:f>
        <x:v>1.0062305898749053</x:v>
      </x:c>
      <x:c r="F33" s="21" t="str"/>
      <x:c r="G33" s="21" t="str">
        <x:v>kg</x:v>
      </x:c>
      <x:c r="H33" s="21" t="str">
        <x:v>CALCULATED</x:v>
      </x:c>
    </x:row>
    <x:row r="34">
      <x:c r="A34" s="21" t="str">
        <x:v>DESIGN-U95</x:v>
      </x:c>
      <x:c r="B34" s="21" t="str">
        <x:v>design</x:v>
      </x:c>
      <x:c r="C34" s="21" t="str">
        <x:v>both</x:v>
      </x:c>
      <x:c r="D34" s="21" t="str">
        <x:v>expanded uncertainty k=2</x:v>
      </x:c>
      <x:c r="E34" s="21" t="n">
        <x:f>2*E33</x:f>
        <x:v>2.0124611797498106</x:v>
      </x:c>
      <x:c r="F34" s="21" t="str"/>
      <x:c r="G34" s="21" t="str">
        <x:v>kg</x:v>
      </x:c>
      <x:c r="H34" s="21" t="str">
        <x:v>CALCULATED</x:v>
      </x:c>
    </x:row>
  </x:sheetData>
  <x:conditionalFormatting sqref="H5:H34">
    <x:cfRule type="containsText" dxfId="84" priority="1" operator="containsText" text="PASS"/>
    <x:cfRule type="containsText" dxfId="85" priority="2" operator="containsText" text="ACCEPTED"/>
    <x:cfRule type="containsText" dxfId="86" priority="3" operator="containsText" text="OPEN"/>
    <x:cfRule type="containsText" dxfId="87" priority="4" operator="containsText" text="BLOCKED"/>
    <x:cfRule type="containsText" dxfId="88" priority="5" operator="containsText" text="FAIL"/>
    <x:cfRule type="containsText" dxfId="89" priority="6" operator="containsText" text="STOP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38" hidden="0" customWidth="1"/>
    <x:col min="4" max="4" width="21" hidden="0" customWidth="1"/>
    <x:col min="5" max="5" width="15" hidden="0" customWidth="1"/>
    <x:col min="6" max="6" width="24" hidden="0" customWidth="1"/>
    <x:col min="7" max="7" width="18" hidden="0" customWidth="1"/>
    <x:col min="8" max="8" width="27" hidden="0" customWidth="1"/>
  </x:cols>
  <x:sheetData>
    <x:row r="1" ht="28" customHeight="1">
      <x:c r="A1" s="17" t="str">
        <x:v>Seventy-two attempt-specific safeing proofs</x:v>
      </x:c>
      <x:c r="B1" s="17"/>
      <x:c r="C1" s="17"/>
      <x:c r="D1" s="17"/>
      <x:c r="E1" s="17"/>
      <x:c r="F1" s="17"/>
      <x:c r="G1" s="17"/>
      <x:c r="H1" s="17"/>
    </x:row>
    <x:row r="2" ht="34" customHeight="1">
      <x:c r="A2" s="18" t="str">
        <x:v>Pressure observations do not replace independent final-state paths.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Path</x:v>
      </x:c>
      <x:c r="B4" s="20" t="str">
        <x:v>Token</x:v>
      </x:c>
      <x:c r="C4" s="20" t="str">
        <x:v>Final element</x:v>
      </x:c>
      <x:c r="D4" s="20" t="str">
        <x:v>Path kind</x:v>
      </x:c>
      <x:c r="E4" s="20" t="str">
        <x:v>State</x:v>
      </x:c>
      <x:c r="F4" s="20" t="str">
        <x:v>Observed final state</x:v>
      </x:c>
      <x:c r="G4" s="20" t="str">
        <x:v>Action time s</x:v>
      </x:c>
      <x:c r="H4" s="20" t="str">
        <x:v>Evidence root</x:v>
      </x:c>
    </x:row>
    <x:row r="5">
      <x:c r="A5" s="21" t="str">
        <x:v>QE03-P01-SP01</x:v>
      </x:c>
      <x:c r="B5" s="21" t="str">
        <x:v>QE03-P01</x:v>
      </x:c>
      <x:c r="C5" s="21" t="str">
        <x:v>source inlet isolation</x:v>
      </x:c>
      <x:c r="D5" s="21" t="str">
        <x:v>PRIMARY</x:v>
      </x:c>
      <x:c r="E5" s="21" t="str">
        <x:v>OPEN</x:v>
      </x:c>
      <x:c r="F5" s="21" t="str"/>
      <x:c r="G5" s="21" t="str"/>
      <x:c r="H5" s="21" t="str"/>
    </x:row>
    <x:row r="6">
      <x:c r="A6" s="21" t="str">
        <x:v>QE03-P01-SP02</x:v>
      </x:c>
      <x:c r="B6" s="21" t="str">
        <x:v>QE03-P01</x:v>
      </x:c>
      <x:c r="C6" s="21" t="str">
        <x:v>source inlet isolation</x:v>
      </x:c>
      <x:c r="D6" s="21" t="str">
        <x:v>DIVERSE LOCAL</x:v>
      </x:c>
      <x:c r="E6" s="21" t="str">
        <x:v>OPEN</x:v>
      </x:c>
      <x:c r="F6" s="21" t="str"/>
      <x:c r="G6" s="21" t="str"/>
      <x:c r="H6" s="21" t="str"/>
    </x:row>
    <x:row r="7">
      <x:c r="A7" s="21" t="str">
        <x:v>QE03-P01-SP03</x:v>
      </x:c>
      <x:c r="B7" s="21" t="str">
        <x:v>QE03-P01</x:v>
      </x:c>
      <x:c r="C7" s="21" t="str">
        <x:v>source inlet isolation</x:v>
      </x:c>
      <x:c r="D7" s="21" t="str">
        <x:v>MANUAL OR PASSIVE</x:v>
      </x:c>
      <x:c r="E7" s="21" t="str">
        <x:v>OPEN</x:v>
      </x:c>
      <x:c r="F7" s="21" t="str"/>
      <x:c r="G7" s="21" t="str"/>
      <x:c r="H7" s="21" t="str"/>
    </x:row>
    <x:row r="8">
      <x:c r="A8" s="21" t="str">
        <x:v>QE03-P01-SP04</x:v>
      </x:c>
      <x:c r="B8" s="21" t="str">
        <x:v>QE03-P01</x:v>
      </x:c>
      <x:c r="C8" s="21" t="str">
        <x:v>dispenser isolation</x:v>
      </x:c>
      <x:c r="D8" s="21" t="str">
        <x:v>PRIMARY</x:v>
      </x:c>
      <x:c r="E8" s="21" t="str">
        <x:v>OPEN</x:v>
      </x:c>
      <x:c r="F8" s="21" t="str"/>
      <x:c r="G8" s="21" t="str"/>
      <x:c r="H8" s="21" t="str"/>
    </x:row>
    <x:row r="9">
      <x:c r="A9" s="21" t="str">
        <x:v>QE03-P01-SP05</x:v>
      </x:c>
      <x:c r="B9" s="21" t="str">
        <x:v>QE03-P01</x:v>
      </x:c>
      <x:c r="C9" s="21" t="str">
        <x:v>dispenser isolation</x:v>
      </x:c>
      <x:c r="D9" s="21" t="str">
        <x:v>DIVERSE LOCAL</x:v>
      </x:c>
      <x:c r="E9" s="21" t="str">
        <x:v>OPEN</x:v>
      </x:c>
      <x:c r="F9" s="21" t="str"/>
      <x:c r="G9" s="21" t="str"/>
      <x:c r="H9" s="21" t="str"/>
    </x:row>
    <x:row r="10">
      <x:c r="A10" s="21" t="str">
        <x:v>QE03-P01-SP06</x:v>
      </x:c>
      <x:c r="B10" s="21" t="str">
        <x:v>QE03-P01</x:v>
      </x:c>
      <x:c r="C10" s="21" t="str">
        <x:v>dispenser isolation</x:v>
      </x:c>
      <x:c r="D10" s="21" t="str">
        <x:v>MANUAL OR PASSIVE</x:v>
      </x:c>
      <x:c r="E10" s="21" t="str">
        <x:v>OPEN</x:v>
      </x:c>
      <x:c r="F10" s="21" t="str"/>
      <x:c r="G10" s="21" t="str"/>
      <x:c r="H10" s="21" t="str"/>
    </x:row>
    <x:row r="11">
      <x:c r="A11" s="21" t="str">
        <x:v>QE03-P01-SP07</x:v>
      </x:c>
      <x:c r="B11" s="21" t="str">
        <x:v>QE03-P01</x:v>
      </x:c>
      <x:c r="C11" s="21" t="str">
        <x:v>gravity source diversion</x:v>
      </x:c>
      <x:c r="D11" s="21" t="str">
        <x:v>PRIMARY</x:v>
      </x:c>
      <x:c r="E11" s="21" t="str">
        <x:v>OPEN</x:v>
      </x:c>
      <x:c r="F11" s="21" t="str"/>
      <x:c r="G11" s="21" t="str"/>
      <x:c r="H11" s="21" t="str"/>
    </x:row>
    <x:row r="12">
      <x:c r="A12" s="21" t="str">
        <x:v>QE03-P01-SP08</x:v>
      </x:c>
      <x:c r="B12" s="21" t="str">
        <x:v>QE03-P01</x:v>
      </x:c>
      <x:c r="C12" s="21" t="str">
        <x:v>gravity source diversion</x:v>
      </x:c>
      <x:c r="D12" s="21" t="str">
        <x:v>DIVERSE LOCAL</x:v>
      </x:c>
      <x:c r="E12" s="21" t="str">
        <x:v>OPEN</x:v>
      </x:c>
      <x:c r="F12" s="21" t="str"/>
      <x:c r="G12" s="21" t="str"/>
      <x:c r="H12" s="21" t="str"/>
    </x:row>
    <x:row r="13">
      <x:c r="A13" s="21" t="str">
        <x:v>QE03-P01-SP09</x:v>
      </x:c>
      <x:c r="B13" s="21" t="str">
        <x:v>QE03-P01</x:v>
      </x:c>
      <x:c r="C13" s="21" t="str">
        <x:v>gravity source diversion</x:v>
      </x:c>
      <x:c r="D13" s="21" t="str">
        <x:v>MANUAL OR PASSIVE</x:v>
      </x:c>
      <x:c r="E13" s="21" t="str">
        <x:v>OPEN</x:v>
      </x:c>
      <x:c r="F13" s="21" t="str"/>
      <x:c r="G13" s="21" t="str"/>
      <x:c r="H13" s="21" t="str"/>
    </x:row>
    <x:row r="14">
      <x:c r="A14" s="21" t="str">
        <x:v>QE03-P01-SP10</x:v>
      </x:c>
      <x:c r="B14" s="21" t="str">
        <x:v>QE03-P01</x:v>
      </x:c>
      <x:c r="C14" s="21" t="str">
        <x:v>normal receiver isolation</x:v>
      </x:c>
      <x:c r="D14" s="21" t="str">
        <x:v>PRIMARY</x:v>
      </x:c>
      <x:c r="E14" s="21" t="str">
        <x:v>OPEN</x:v>
      </x:c>
      <x:c r="F14" s="21" t="str"/>
      <x:c r="G14" s="21" t="str"/>
      <x:c r="H14" s="21" t="str"/>
    </x:row>
    <x:row r="15">
      <x:c r="A15" s="21" t="str">
        <x:v>QE03-P01-SP11</x:v>
      </x:c>
      <x:c r="B15" s="21" t="str">
        <x:v>QE03-P01</x:v>
      </x:c>
      <x:c r="C15" s="21" t="str">
        <x:v>normal receiver isolation</x:v>
      </x:c>
      <x:c r="D15" s="21" t="str">
        <x:v>DIVERSE LOCAL</x:v>
      </x:c>
      <x:c r="E15" s="21" t="str">
        <x:v>OPEN</x:v>
      </x:c>
      <x:c r="F15" s="21" t="str"/>
      <x:c r="G15" s="21" t="str"/>
      <x:c r="H15" s="21" t="str"/>
    </x:row>
    <x:row r="16">
      <x:c r="A16" s="21" t="str">
        <x:v>QE03-P01-SP12</x:v>
      </x:c>
      <x:c r="B16" s="21" t="str">
        <x:v>QE03-P01</x:v>
      </x:c>
      <x:c r="C16" s="21" t="str">
        <x:v>normal receiver isolation</x:v>
      </x:c>
      <x:c r="D16" s="21" t="str">
        <x:v>MANUAL OR PASSIVE</x:v>
      </x:c>
      <x:c r="E16" s="21" t="str">
        <x:v>OPEN</x:v>
      </x:c>
      <x:c r="F16" s="21" t="str"/>
      <x:c r="G16" s="21" t="str"/>
      <x:c r="H16" s="21" t="str"/>
    </x:row>
    <x:row r="17">
      <x:c r="A17" s="21" t="str">
        <x:v>QE03-P01-SP13</x:v>
      </x:c>
      <x:c r="B17" s="21" t="str">
        <x:v>QE03-P01</x:v>
      </x:c>
      <x:c r="C17" s="21" t="str">
        <x:v>casualty source diversion</x:v>
      </x:c>
      <x:c r="D17" s="21" t="str">
        <x:v>PRIMARY</x:v>
      </x:c>
      <x:c r="E17" s="21" t="str">
        <x:v>OPEN</x:v>
      </x:c>
      <x:c r="F17" s="21" t="str"/>
      <x:c r="G17" s="21" t="str"/>
      <x:c r="H17" s="21" t="str"/>
    </x:row>
    <x:row r="18">
      <x:c r="A18" s="21" t="str">
        <x:v>QE03-P01-SP14</x:v>
      </x:c>
      <x:c r="B18" s="21" t="str">
        <x:v>QE03-P01</x:v>
      </x:c>
      <x:c r="C18" s="21" t="str">
        <x:v>casualty source diversion</x:v>
      </x:c>
      <x:c r="D18" s="21" t="str">
        <x:v>DIVERSE LOCAL</x:v>
      </x:c>
      <x:c r="E18" s="21" t="str">
        <x:v>OPEN</x:v>
      </x:c>
      <x:c r="F18" s="21" t="str"/>
      <x:c r="G18" s="21" t="str"/>
      <x:c r="H18" s="21" t="str"/>
    </x:row>
    <x:row r="19">
      <x:c r="A19" s="21" t="str">
        <x:v>QE03-P01-SP15</x:v>
      </x:c>
      <x:c r="B19" s="21" t="str">
        <x:v>QE03-P01</x:v>
      </x:c>
      <x:c r="C19" s="21" t="str">
        <x:v>casualty source diversion</x:v>
      </x:c>
      <x:c r="D19" s="21" t="str">
        <x:v>MANUAL OR PASSIVE</x:v>
      </x:c>
      <x:c r="E19" s="21" t="str">
        <x:v>OPEN</x:v>
      </x:c>
      <x:c r="F19" s="21" t="str"/>
      <x:c r="G19" s="21" t="str"/>
      <x:c r="H19" s="21" t="str"/>
    </x:row>
    <x:row r="20">
      <x:c r="A20" s="21" t="str">
        <x:v>QE03-P01-SP16</x:v>
      </x:c>
      <x:c r="B20" s="21" t="str">
        <x:v>QE03-P01</x:v>
      </x:c>
      <x:c r="C20" s="21" t="str">
        <x:v>ignition-energy removal</x:v>
      </x:c>
      <x:c r="D20" s="21" t="str">
        <x:v>PRIMARY</x:v>
      </x:c>
      <x:c r="E20" s="21" t="str">
        <x:v>OPEN</x:v>
      </x:c>
      <x:c r="F20" s="21" t="str"/>
      <x:c r="G20" s="21" t="str"/>
      <x:c r="H20" s="21" t="str"/>
    </x:row>
    <x:row r="21">
      <x:c r="A21" s="21" t="str">
        <x:v>QE03-P01-SP17</x:v>
      </x:c>
      <x:c r="B21" s="21" t="str">
        <x:v>QE03-P01</x:v>
      </x:c>
      <x:c r="C21" s="21" t="str">
        <x:v>ignition-energy removal</x:v>
      </x:c>
      <x:c r="D21" s="21" t="str">
        <x:v>DIVERSE LOCAL</x:v>
      </x:c>
      <x:c r="E21" s="21" t="str">
        <x:v>OPEN</x:v>
      </x:c>
      <x:c r="F21" s="21" t="str"/>
      <x:c r="G21" s="21" t="str"/>
      <x:c r="H21" s="21" t="str"/>
    </x:row>
    <x:row r="22">
      <x:c r="A22" s="21" t="str">
        <x:v>QE03-P01-SP18</x:v>
      </x:c>
      <x:c r="B22" s="21" t="str">
        <x:v>QE03-P01</x:v>
      </x:c>
      <x:c r="C22" s="21" t="str">
        <x:v>ignition-energy removal</x:v>
      </x:c>
      <x:c r="D22" s="21" t="str">
        <x:v>MANUAL OR PASSIVE</x:v>
      </x:c>
      <x:c r="E22" s="21" t="str">
        <x:v>OPEN</x:v>
      </x:c>
      <x:c r="F22" s="21" t="str"/>
      <x:c r="G22" s="21" t="str"/>
      <x:c r="H22" s="21" t="str"/>
    </x:row>
    <x:row r="23">
      <x:c r="A23" s="21" t="str">
        <x:v>QE03-P01-SP19</x:v>
      </x:c>
      <x:c r="B23" s="21" t="str">
        <x:v>QE03-P01</x:v>
      </x:c>
      <x:c r="C23" s="21" t="str">
        <x:v>candidate and public-water isolation</x:v>
      </x:c>
      <x:c r="D23" s="21" t="str">
        <x:v>PRIMARY</x:v>
      </x:c>
      <x:c r="E23" s="21" t="str">
        <x:v>OPEN</x:v>
      </x:c>
      <x:c r="F23" s="21" t="str"/>
      <x:c r="G23" s="21" t="str"/>
      <x:c r="H23" s="21" t="str"/>
    </x:row>
    <x:row r="24">
      <x:c r="A24" s="21" t="str">
        <x:v>QE03-P01-SP20</x:v>
      </x:c>
      <x:c r="B24" s="21" t="str">
        <x:v>QE03-P01</x:v>
      </x:c>
      <x:c r="C24" s="21" t="str">
        <x:v>candidate and public-water isolation</x:v>
      </x:c>
      <x:c r="D24" s="21" t="str">
        <x:v>DIVERSE LOCAL</x:v>
      </x:c>
      <x:c r="E24" s="21" t="str">
        <x:v>OPEN</x:v>
      </x:c>
      <x:c r="F24" s="21" t="str"/>
      <x:c r="G24" s="21" t="str"/>
      <x:c r="H24" s="21" t="str"/>
    </x:row>
    <x:row r="25">
      <x:c r="A25" s="21" t="str">
        <x:v>QE03-P01-SP21</x:v>
      </x:c>
      <x:c r="B25" s="21" t="str">
        <x:v>QE03-P01</x:v>
      </x:c>
      <x:c r="C25" s="21" t="str">
        <x:v>candidate and public-water isolation</x:v>
      </x:c>
      <x:c r="D25" s="21" t="str">
        <x:v>MANUAL OR PASSIVE</x:v>
      </x:c>
      <x:c r="E25" s="21" t="str">
        <x:v>OPEN</x:v>
      </x:c>
      <x:c r="F25" s="21" t="str"/>
      <x:c r="G25" s="21" t="str"/>
      <x:c r="H25" s="21" t="str"/>
    </x:row>
    <x:row r="26">
      <x:c r="A26" s="21" t="str">
        <x:v>QE03-P01-SP22</x:v>
      </x:c>
      <x:c r="B26" s="21" t="str">
        <x:v>QE03-P01</x:v>
      </x:c>
      <x:c r="C26" s="21" t="str">
        <x:v>casualty-water diversion</x:v>
      </x:c>
      <x:c r="D26" s="21" t="str">
        <x:v>PRIMARY</x:v>
      </x:c>
      <x:c r="E26" s="21" t="str">
        <x:v>OPEN</x:v>
      </x:c>
      <x:c r="F26" s="21" t="str"/>
      <x:c r="G26" s="21" t="str"/>
      <x:c r="H26" s="21" t="str"/>
    </x:row>
    <x:row r="27">
      <x:c r="A27" s="21" t="str">
        <x:v>QE03-P01-SP23</x:v>
      </x:c>
      <x:c r="B27" s="21" t="str">
        <x:v>QE03-P01</x:v>
      </x:c>
      <x:c r="C27" s="21" t="str">
        <x:v>casualty-water diversion</x:v>
      </x:c>
      <x:c r="D27" s="21" t="str">
        <x:v>DIVERSE LOCAL</x:v>
      </x:c>
      <x:c r="E27" s="21" t="str">
        <x:v>OPEN</x:v>
      </x:c>
      <x:c r="F27" s="21" t="str"/>
      <x:c r="G27" s="21" t="str"/>
      <x:c r="H27" s="21" t="str"/>
    </x:row>
    <x:row r="28">
      <x:c r="A28" s="21" t="str">
        <x:v>QE03-P01-SP24</x:v>
      </x:c>
      <x:c r="B28" s="21" t="str">
        <x:v>QE03-P01</x:v>
      </x:c>
      <x:c r="C28" s="21" t="str">
        <x:v>casualty-water diversion</x:v>
      </x:c>
      <x:c r="D28" s="21" t="str">
        <x:v>MANUAL OR PASSIVE</x:v>
      </x:c>
      <x:c r="E28" s="21" t="str">
        <x:v>OPEN</x:v>
      </x:c>
      <x:c r="F28" s="21" t="str"/>
      <x:c r="G28" s="21" t="str"/>
      <x:c r="H28" s="21" t="str"/>
    </x:row>
    <x:row r="29">
      <x:c r="A29" s="21" t="str">
        <x:v>QE03-P01-SP25</x:v>
      </x:c>
      <x:c r="B29" s="21" t="str">
        <x:v>QE03-P01</x:v>
      </x:c>
      <x:c r="C29" s="21" t="str">
        <x:v>normal electrical isolation</x:v>
      </x:c>
      <x:c r="D29" s="21" t="str">
        <x:v>PRIMARY</x:v>
      </x:c>
      <x:c r="E29" s="21" t="str">
        <x:v>OPEN</x:v>
      </x:c>
      <x:c r="F29" s="21" t="str"/>
      <x:c r="G29" s="21" t="str"/>
      <x:c r="H29" s="21" t="str"/>
    </x:row>
    <x:row r="30">
      <x:c r="A30" s="21" t="str">
        <x:v>QE03-P01-SP26</x:v>
      </x:c>
      <x:c r="B30" s="21" t="str">
        <x:v>QE03-P01</x:v>
      </x:c>
      <x:c r="C30" s="21" t="str">
        <x:v>normal electrical isolation</x:v>
      </x:c>
      <x:c r="D30" s="21" t="str">
        <x:v>DIVERSE LOCAL</x:v>
      </x:c>
      <x:c r="E30" s="21" t="str">
        <x:v>OPEN</x:v>
      </x:c>
      <x:c r="F30" s="21" t="str"/>
      <x:c r="G30" s="21" t="str"/>
      <x:c r="H30" s="21" t="str"/>
    </x:row>
    <x:row r="31">
      <x:c r="A31" s="21" t="str">
        <x:v>QE03-P01-SP27</x:v>
      </x:c>
      <x:c r="B31" s="21" t="str">
        <x:v>QE03-P01</x:v>
      </x:c>
      <x:c r="C31" s="21" t="str">
        <x:v>normal electrical isolation</x:v>
      </x:c>
      <x:c r="D31" s="21" t="str">
        <x:v>MANUAL OR PASSIVE</x:v>
      </x:c>
      <x:c r="E31" s="21" t="str">
        <x:v>OPEN</x:v>
      </x:c>
      <x:c r="F31" s="21" t="str"/>
      <x:c r="G31" s="21" t="str"/>
      <x:c r="H31" s="21" t="str"/>
    </x:row>
    <x:row r="32">
      <x:c r="A32" s="21" t="str">
        <x:v>QE03-P01-SP28</x:v>
      </x:c>
      <x:c r="B32" s="21" t="str">
        <x:v>QE03-P01</x:v>
      </x:c>
      <x:c r="C32" s="21" t="str">
        <x:v>independent safety energy</x:v>
      </x:c>
      <x:c r="D32" s="21" t="str">
        <x:v>PRIMARY</x:v>
      </x:c>
      <x:c r="E32" s="21" t="str">
        <x:v>OPEN</x:v>
      </x:c>
      <x:c r="F32" s="21" t="str"/>
      <x:c r="G32" s="21" t="str"/>
      <x:c r="H32" s="21" t="str"/>
    </x:row>
    <x:row r="33">
      <x:c r="A33" s="21" t="str">
        <x:v>QE03-P01-SP29</x:v>
      </x:c>
      <x:c r="B33" s="21" t="str">
        <x:v>QE03-P01</x:v>
      </x:c>
      <x:c r="C33" s="21" t="str">
        <x:v>independent safety energy</x:v>
      </x:c>
      <x:c r="D33" s="21" t="str">
        <x:v>DIVERSE LOCAL</x:v>
      </x:c>
      <x:c r="E33" s="21" t="str">
        <x:v>OPEN</x:v>
      </x:c>
      <x:c r="F33" s="21" t="str"/>
      <x:c r="G33" s="21" t="str"/>
      <x:c r="H33" s="21" t="str"/>
    </x:row>
    <x:row r="34">
      <x:c r="A34" s="21" t="str">
        <x:v>QE03-P01-SP30</x:v>
      </x:c>
      <x:c r="B34" s="21" t="str">
        <x:v>QE03-P01</x:v>
      </x:c>
      <x:c r="C34" s="21" t="str">
        <x:v>independent safety energy</x:v>
      </x:c>
      <x:c r="D34" s="21" t="str">
        <x:v>MANUAL OR PASSIVE</x:v>
      </x:c>
      <x:c r="E34" s="21" t="str">
        <x:v>OPEN</x:v>
      </x:c>
      <x:c r="F34" s="21" t="str"/>
      <x:c r="G34" s="21" t="str"/>
      <x:c r="H34" s="21" t="str"/>
    </x:row>
    <x:row r="35">
      <x:c r="A35" s="21" t="str">
        <x:v>QE03-P01-SP31</x:v>
      </x:c>
      <x:c r="B35" s="21" t="str">
        <x:v>QE03-P01</x:v>
      </x:c>
      <x:c r="C35" s="21" t="str">
        <x:v>environmental boundary and safe vent</x:v>
      </x:c>
      <x:c r="D35" s="21" t="str">
        <x:v>PRIMARY</x:v>
      </x:c>
      <x:c r="E35" s="21" t="str">
        <x:v>OPEN</x:v>
      </x:c>
      <x:c r="F35" s="21" t="str"/>
      <x:c r="G35" s="21" t="str"/>
      <x:c r="H35" s="21" t="str"/>
    </x:row>
    <x:row r="36">
      <x:c r="A36" s="21" t="str">
        <x:v>QE03-P01-SP32</x:v>
      </x:c>
      <x:c r="B36" s="21" t="str">
        <x:v>QE03-P01</x:v>
      </x:c>
      <x:c r="C36" s="21" t="str">
        <x:v>environmental boundary and safe vent</x:v>
      </x:c>
      <x:c r="D36" s="21" t="str">
        <x:v>DIVERSE LOCAL</x:v>
      </x:c>
      <x:c r="E36" s="21" t="str">
        <x:v>OPEN</x:v>
      </x:c>
      <x:c r="F36" s="21" t="str"/>
      <x:c r="G36" s="21" t="str"/>
      <x:c r="H36" s="21" t="str"/>
    </x:row>
    <x:row r="37">
      <x:c r="A37" s="21" t="str">
        <x:v>QE03-P01-SP33</x:v>
      </x:c>
      <x:c r="B37" s="21" t="str">
        <x:v>QE03-P01</x:v>
      </x:c>
      <x:c r="C37" s="21" t="str">
        <x:v>environmental boundary and safe vent</x:v>
      </x:c>
      <x:c r="D37" s="21" t="str">
        <x:v>MANUAL OR PASSIVE</x:v>
      </x:c>
      <x:c r="E37" s="21" t="str">
        <x:v>OPEN</x:v>
      </x:c>
      <x:c r="F37" s="21" t="str"/>
      <x:c r="G37" s="21" t="str"/>
      <x:c r="H37" s="21" t="str"/>
    </x:row>
    <x:row r="38">
      <x:c r="A38" s="21" t="str">
        <x:v>QE03-P01-SP34</x:v>
      </x:c>
      <x:c r="B38" s="21" t="str">
        <x:v>QE03-P01</x:v>
      </x:c>
      <x:c r="C38" s="21" t="str">
        <x:v>evidence safe-state latch</x:v>
      </x:c>
      <x:c r="D38" s="21" t="str">
        <x:v>PRIMARY</x:v>
      </x:c>
      <x:c r="E38" s="21" t="str">
        <x:v>OPEN</x:v>
      </x:c>
      <x:c r="F38" s="21" t="str"/>
      <x:c r="G38" s="21" t="str"/>
      <x:c r="H38" s="21" t="str"/>
    </x:row>
    <x:row r="39">
      <x:c r="A39" s="21" t="str">
        <x:v>QE03-P01-SP35</x:v>
      </x:c>
      <x:c r="B39" s="21" t="str">
        <x:v>QE03-P01</x:v>
      </x:c>
      <x:c r="C39" s="21" t="str">
        <x:v>evidence safe-state latch</x:v>
      </x:c>
      <x:c r="D39" s="21" t="str">
        <x:v>DIVERSE LOCAL</x:v>
      </x:c>
      <x:c r="E39" s="21" t="str">
        <x:v>OPEN</x:v>
      </x:c>
      <x:c r="F39" s="21" t="str"/>
      <x:c r="G39" s="21" t="str"/>
      <x:c r="H39" s="21" t="str"/>
    </x:row>
    <x:row r="40">
      <x:c r="A40" s="21" t="str">
        <x:v>QE03-P01-SP36</x:v>
      </x:c>
      <x:c r="B40" s="21" t="str">
        <x:v>QE03-P01</x:v>
      </x:c>
      <x:c r="C40" s="21" t="str">
        <x:v>evidence safe-state latch</x:v>
      </x:c>
      <x:c r="D40" s="21" t="str">
        <x:v>MANUAL OR PASSIVE</x:v>
      </x:c>
      <x:c r="E40" s="21" t="str">
        <x:v>OPEN</x:v>
      </x:c>
      <x:c r="F40" s="21" t="str"/>
      <x:c r="G40" s="21" t="str"/>
      <x:c r="H40" s="21" t="str"/>
    </x:row>
    <x:row r="41">
      <x:c r="A41" s="21" t="str">
        <x:v>QE03-R01-SP01</x:v>
      </x:c>
      <x:c r="B41" s="21" t="str">
        <x:v>QE03-R01</x:v>
      </x:c>
      <x:c r="C41" s="21" t="str">
        <x:v>source inlet isolation</x:v>
      </x:c>
      <x:c r="D41" s="21" t="str">
        <x:v>PRIMARY</x:v>
      </x:c>
      <x:c r="E41" s="21" t="str">
        <x:v>OPEN</x:v>
      </x:c>
      <x:c r="F41" s="21" t="str"/>
      <x:c r="G41" s="21" t="str"/>
      <x:c r="H41" s="21" t="str"/>
    </x:row>
    <x:row r="42">
      <x:c r="A42" s="21" t="str">
        <x:v>QE03-R01-SP02</x:v>
      </x:c>
      <x:c r="B42" s="21" t="str">
        <x:v>QE03-R01</x:v>
      </x:c>
      <x:c r="C42" s="21" t="str">
        <x:v>source inlet isolation</x:v>
      </x:c>
      <x:c r="D42" s="21" t="str">
        <x:v>DIVERSE LOCAL</x:v>
      </x:c>
      <x:c r="E42" s="21" t="str">
        <x:v>OPEN</x:v>
      </x:c>
      <x:c r="F42" s="21" t="str"/>
      <x:c r="G42" s="21" t="str"/>
      <x:c r="H42" s="21" t="str"/>
    </x:row>
    <x:row r="43">
      <x:c r="A43" s="21" t="str">
        <x:v>QE03-R01-SP03</x:v>
      </x:c>
      <x:c r="B43" s="21" t="str">
        <x:v>QE03-R01</x:v>
      </x:c>
      <x:c r="C43" s="21" t="str">
        <x:v>source inlet isolation</x:v>
      </x:c>
      <x:c r="D43" s="21" t="str">
        <x:v>MANUAL OR PASSIVE</x:v>
      </x:c>
      <x:c r="E43" s="21" t="str">
        <x:v>OPEN</x:v>
      </x:c>
      <x:c r="F43" s="21" t="str"/>
      <x:c r="G43" s="21" t="str"/>
      <x:c r="H43" s="21" t="str"/>
    </x:row>
    <x:row r="44">
      <x:c r="A44" s="21" t="str">
        <x:v>QE03-R01-SP04</x:v>
      </x:c>
      <x:c r="B44" s="21" t="str">
        <x:v>QE03-R01</x:v>
      </x:c>
      <x:c r="C44" s="21" t="str">
        <x:v>dispenser isolation</x:v>
      </x:c>
      <x:c r="D44" s="21" t="str">
        <x:v>PRIMARY</x:v>
      </x:c>
      <x:c r="E44" s="21" t="str">
        <x:v>OPEN</x:v>
      </x:c>
      <x:c r="F44" s="21" t="str"/>
      <x:c r="G44" s="21" t="str"/>
      <x:c r="H44" s="21" t="str"/>
    </x:row>
    <x:row r="45">
      <x:c r="A45" s="21" t="str">
        <x:v>QE03-R01-SP05</x:v>
      </x:c>
      <x:c r="B45" s="21" t="str">
        <x:v>QE03-R01</x:v>
      </x:c>
      <x:c r="C45" s="21" t="str">
        <x:v>dispenser isolation</x:v>
      </x:c>
      <x:c r="D45" s="21" t="str">
        <x:v>DIVERSE LOCAL</x:v>
      </x:c>
      <x:c r="E45" s="21" t="str">
        <x:v>OPEN</x:v>
      </x:c>
      <x:c r="F45" s="21" t="str"/>
      <x:c r="G45" s="21" t="str"/>
      <x:c r="H45" s="21" t="str"/>
    </x:row>
    <x:row r="46">
      <x:c r="A46" s="21" t="str">
        <x:v>QE03-R01-SP06</x:v>
      </x:c>
      <x:c r="B46" s="21" t="str">
        <x:v>QE03-R01</x:v>
      </x:c>
      <x:c r="C46" s="21" t="str">
        <x:v>dispenser isolation</x:v>
      </x:c>
      <x:c r="D46" s="21" t="str">
        <x:v>MANUAL OR PASSIVE</x:v>
      </x:c>
      <x:c r="E46" s="21" t="str">
        <x:v>OPEN</x:v>
      </x:c>
      <x:c r="F46" s="21" t="str"/>
      <x:c r="G46" s="21" t="str"/>
      <x:c r="H46" s="21" t="str"/>
    </x:row>
    <x:row r="47">
      <x:c r="A47" s="21" t="str">
        <x:v>QE03-R01-SP07</x:v>
      </x:c>
      <x:c r="B47" s="21" t="str">
        <x:v>QE03-R01</x:v>
      </x:c>
      <x:c r="C47" s="21" t="str">
        <x:v>gravity source diversion</x:v>
      </x:c>
      <x:c r="D47" s="21" t="str">
        <x:v>PRIMARY</x:v>
      </x:c>
      <x:c r="E47" s="21" t="str">
        <x:v>OPEN</x:v>
      </x:c>
      <x:c r="F47" s="21" t="str"/>
      <x:c r="G47" s="21" t="str"/>
      <x:c r="H47" s="21" t="str"/>
    </x:row>
    <x:row r="48">
      <x:c r="A48" s="21" t="str">
        <x:v>QE03-R01-SP08</x:v>
      </x:c>
      <x:c r="B48" s="21" t="str">
        <x:v>QE03-R01</x:v>
      </x:c>
      <x:c r="C48" s="21" t="str">
        <x:v>gravity source diversion</x:v>
      </x:c>
      <x:c r="D48" s="21" t="str">
        <x:v>DIVERSE LOCAL</x:v>
      </x:c>
      <x:c r="E48" s="21" t="str">
        <x:v>OPEN</x:v>
      </x:c>
      <x:c r="F48" s="21" t="str"/>
      <x:c r="G48" s="21" t="str"/>
      <x:c r="H48" s="21" t="str"/>
    </x:row>
    <x:row r="49">
      <x:c r="A49" s="21" t="str">
        <x:v>QE03-R01-SP09</x:v>
      </x:c>
      <x:c r="B49" s="21" t="str">
        <x:v>QE03-R01</x:v>
      </x:c>
      <x:c r="C49" s="21" t="str">
        <x:v>gravity source diversion</x:v>
      </x:c>
      <x:c r="D49" s="21" t="str">
        <x:v>MANUAL OR PASSIVE</x:v>
      </x:c>
      <x:c r="E49" s="21" t="str">
        <x:v>OPEN</x:v>
      </x:c>
      <x:c r="F49" s="21" t="str"/>
      <x:c r="G49" s="21" t="str"/>
      <x:c r="H49" s="21" t="str"/>
    </x:row>
    <x:row r="50">
      <x:c r="A50" s="21" t="str">
        <x:v>QE03-R01-SP10</x:v>
      </x:c>
      <x:c r="B50" s="21" t="str">
        <x:v>QE03-R01</x:v>
      </x:c>
      <x:c r="C50" s="21" t="str">
        <x:v>normal receiver isolation</x:v>
      </x:c>
      <x:c r="D50" s="21" t="str">
        <x:v>PRIMARY</x:v>
      </x:c>
      <x:c r="E50" s="21" t="str">
        <x:v>OPEN</x:v>
      </x:c>
      <x:c r="F50" s="21" t="str"/>
      <x:c r="G50" s="21" t="str"/>
      <x:c r="H50" s="21" t="str"/>
    </x:row>
    <x:row r="51">
      <x:c r="A51" s="21" t="str">
        <x:v>QE03-R01-SP11</x:v>
      </x:c>
      <x:c r="B51" s="21" t="str">
        <x:v>QE03-R01</x:v>
      </x:c>
      <x:c r="C51" s="21" t="str">
        <x:v>normal receiver isolation</x:v>
      </x:c>
      <x:c r="D51" s="21" t="str">
        <x:v>DIVERSE LOCAL</x:v>
      </x:c>
      <x:c r="E51" s="21" t="str">
        <x:v>OPEN</x:v>
      </x:c>
      <x:c r="F51" s="21" t="str"/>
      <x:c r="G51" s="21" t="str"/>
      <x:c r="H51" s="21" t="str"/>
    </x:row>
    <x:row r="52">
      <x:c r="A52" s="21" t="str">
        <x:v>QE03-R01-SP12</x:v>
      </x:c>
      <x:c r="B52" s="21" t="str">
        <x:v>QE03-R01</x:v>
      </x:c>
      <x:c r="C52" s="21" t="str">
        <x:v>normal receiver isolation</x:v>
      </x:c>
      <x:c r="D52" s="21" t="str">
        <x:v>MANUAL OR PASSIVE</x:v>
      </x:c>
      <x:c r="E52" s="21" t="str">
        <x:v>OPEN</x:v>
      </x:c>
      <x:c r="F52" s="21" t="str"/>
      <x:c r="G52" s="21" t="str"/>
      <x:c r="H52" s="21" t="str"/>
    </x:row>
    <x:row r="53">
      <x:c r="A53" s="21" t="str">
        <x:v>QE03-R01-SP13</x:v>
      </x:c>
      <x:c r="B53" s="21" t="str">
        <x:v>QE03-R01</x:v>
      </x:c>
      <x:c r="C53" s="21" t="str">
        <x:v>casualty source diversion</x:v>
      </x:c>
      <x:c r="D53" s="21" t="str">
        <x:v>PRIMARY</x:v>
      </x:c>
      <x:c r="E53" s="21" t="str">
        <x:v>OPEN</x:v>
      </x:c>
      <x:c r="F53" s="21" t="str"/>
      <x:c r="G53" s="21" t="str"/>
      <x:c r="H53" s="21" t="str"/>
    </x:row>
    <x:row r="54">
      <x:c r="A54" s="21" t="str">
        <x:v>QE03-R01-SP14</x:v>
      </x:c>
      <x:c r="B54" s="21" t="str">
        <x:v>QE03-R01</x:v>
      </x:c>
      <x:c r="C54" s="21" t="str">
        <x:v>casualty source diversion</x:v>
      </x:c>
      <x:c r="D54" s="21" t="str">
        <x:v>DIVERSE LOCAL</x:v>
      </x:c>
      <x:c r="E54" s="21" t="str">
        <x:v>OPEN</x:v>
      </x:c>
      <x:c r="F54" s="21" t="str"/>
      <x:c r="G54" s="21" t="str"/>
      <x:c r="H54" s="21" t="str"/>
    </x:row>
    <x:row r="55">
      <x:c r="A55" s="21" t="str">
        <x:v>QE03-R01-SP15</x:v>
      </x:c>
      <x:c r="B55" s="21" t="str">
        <x:v>QE03-R01</x:v>
      </x:c>
      <x:c r="C55" s="21" t="str">
        <x:v>casualty source diversion</x:v>
      </x:c>
      <x:c r="D55" s="21" t="str">
        <x:v>MANUAL OR PASSIVE</x:v>
      </x:c>
      <x:c r="E55" s="21" t="str">
        <x:v>OPEN</x:v>
      </x:c>
      <x:c r="F55" s="21" t="str"/>
      <x:c r="G55" s="21" t="str"/>
      <x:c r="H55" s="21" t="str"/>
    </x:row>
    <x:row r="56">
      <x:c r="A56" s="21" t="str">
        <x:v>QE03-R01-SP16</x:v>
      </x:c>
      <x:c r="B56" s="21" t="str">
        <x:v>QE03-R01</x:v>
      </x:c>
      <x:c r="C56" s="21" t="str">
        <x:v>ignition-energy removal</x:v>
      </x:c>
      <x:c r="D56" s="21" t="str">
        <x:v>PRIMARY</x:v>
      </x:c>
      <x:c r="E56" s="21" t="str">
        <x:v>OPEN</x:v>
      </x:c>
      <x:c r="F56" s="21" t="str"/>
      <x:c r="G56" s="21" t="str"/>
      <x:c r="H56" s="21" t="str"/>
    </x:row>
    <x:row r="57">
      <x:c r="A57" s="21" t="str">
        <x:v>QE03-R01-SP17</x:v>
      </x:c>
      <x:c r="B57" s="21" t="str">
        <x:v>QE03-R01</x:v>
      </x:c>
      <x:c r="C57" s="21" t="str">
        <x:v>ignition-energy removal</x:v>
      </x:c>
      <x:c r="D57" s="21" t="str">
        <x:v>DIVERSE LOCAL</x:v>
      </x:c>
      <x:c r="E57" s="21" t="str">
        <x:v>OPEN</x:v>
      </x:c>
      <x:c r="F57" s="21" t="str"/>
      <x:c r="G57" s="21" t="str"/>
      <x:c r="H57" s="21" t="str"/>
    </x:row>
    <x:row r="58">
      <x:c r="A58" s="21" t="str">
        <x:v>QE03-R01-SP18</x:v>
      </x:c>
      <x:c r="B58" s="21" t="str">
        <x:v>QE03-R01</x:v>
      </x:c>
      <x:c r="C58" s="21" t="str">
        <x:v>ignition-energy removal</x:v>
      </x:c>
      <x:c r="D58" s="21" t="str">
        <x:v>MANUAL OR PASSIVE</x:v>
      </x:c>
      <x:c r="E58" s="21" t="str">
        <x:v>OPEN</x:v>
      </x:c>
      <x:c r="F58" s="21" t="str"/>
      <x:c r="G58" s="21" t="str"/>
      <x:c r="H58" s="21" t="str"/>
    </x:row>
    <x:row r="59">
      <x:c r="A59" s="21" t="str">
        <x:v>QE03-R01-SP19</x:v>
      </x:c>
      <x:c r="B59" s="21" t="str">
        <x:v>QE03-R01</x:v>
      </x:c>
      <x:c r="C59" s="21" t="str">
        <x:v>candidate and public-water isolation</x:v>
      </x:c>
      <x:c r="D59" s="21" t="str">
        <x:v>PRIMARY</x:v>
      </x:c>
      <x:c r="E59" s="21" t="str">
        <x:v>OPEN</x:v>
      </x:c>
      <x:c r="F59" s="21" t="str"/>
      <x:c r="G59" s="21" t="str"/>
      <x:c r="H59" s="21" t="str"/>
    </x:row>
    <x:row r="60">
      <x:c r="A60" s="21" t="str">
        <x:v>QE03-R01-SP20</x:v>
      </x:c>
      <x:c r="B60" s="21" t="str">
        <x:v>QE03-R01</x:v>
      </x:c>
      <x:c r="C60" s="21" t="str">
        <x:v>candidate and public-water isolation</x:v>
      </x:c>
      <x:c r="D60" s="21" t="str">
        <x:v>DIVERSE LOCAL</x:v>
      </x:c>
      <x:c r="E60" s="21" t="str">
        <x:v>OPEN</x:v>
      </x:c>
      <x:c r="F60" s="21" t="str"/>
      <x:c r="G60" s="21" t="str"/>
      <x:c r="H60" s="21" t="str"/>
    </x:row>
    <x:row r="61">
      <x:c r="A61" s="21" t="str">
        <x:v>QE03-R01-SP21</x:v>
      </x:c>
      <x:c r="B61" s="21" t="str">
        <x:v>QE03-R01</x:v>
      </x:c>
      <x:c r="C61" s="21" t="str">
        <x:v>candidate and public-water isolation</x:v>
      </x:c>
      <x:c r="D61" s="21" t="str">
        <x:v>MANUAL OR PASSIVE</x:v>
      </x:c>
      <x:c r="E61" s="21" t="str">
        <x:v>OPEN</x:v>
      </x:c>
      <x:c r="F61" s="21" t="str"/>
      <x:c r="G61" s="21" t="str"/>
      <x:c r="H61" s="21" t="str"/>
    </x:row>
    <x:row r="62">
      <x:c r="A62" s="21" t="str">
        <x:v>QE03-R01-SP22</x:v>
      </x:c>
      <x:c r="B62" s="21" t="str">
        <x:v>QE03-R01</x:v>
      </x:c>
      <x:c r="C62" s="21" t="str">
        <x:v>casualty-water diversion</x:v>
      </x:c>
      <x:c r="D62" s="21" t="str">
        <x:v>PRIMARY</x:v>
      </x:c>
      <x:c r="E62" s="21" t="str">
        <x:v>OPEN</x:v>
      </x:c>
      <x:c r="F62" s="21" t="str"/>
      <x:c r="G62" s="21" t="str"/>
      <x:c r="H62" s="21" t="str"/>
    </x:row>
    <x:row r="63">
      <x:c r="A63" s="21" t="str">
        <x:v>QE03-R01-SP23</x:v>
      </x:c>
      <x:c r="B63" s="21" t="str">
        <x:v>QE03-R01</x:v>
      </x:c>
      <x:c r="C63" s="21" t="str">
        <x:v>casualty-water diversion</x:v>
      </x:c>
      <x:c r="D63" s="21" t="str">
        <x:v>DIVERSE LOCAL</x:v>
      </x:c>
      <x:c r="E63" s="21" t="str">
        <x:v>OPEN</x:v>
      </x:c>
      <x:c r="F63" s="21" t="str"/>
      <x:c r="G63" s="21" t="str"/>
      <x:c r="H63" s="21" t="str"/>
    </x:row>
    <x:row r="64">
      <x:c r="A64" s="21" t="str">
        <x:v>QE03-R01-SP24</x:v>
      </x:c>
      <x:c r="B64" s="21" t="str">
        <x:v>QE03-R01</x:v>
      </x:c>
      <x:c r="C64" s="21" t="str">
        <x:v>casualty-water diversion</x:v>
      </x:c>
      <x:c r="D64" s="21" t="str">
        <x:v>MANUAL OR PASSIVE</x:v>
      </x:c>
      <x:c r="E64" s="21" t="str">
        <x:v>OPEN</x:v>
      </x:c>
      <x:c r="F64" s="21" t="str"/>
      <x:c r="G64" s="21" t="str"/>
      <x:c r="H64" s="21" t="str"/>
    </x:row>
    <x:row r="65">
      <x:c r="A65" s="21" t="str">
        <x:v>QE03-R01-SP25</x:v>
      </x:c>
      <x:c r="B65" s="21" t="str">
        <x:v>QE03-R01</x:v>
      </x:c>
      <x:c r="C65" s="21" t="str">
        <x:v>normal electrical isolation</x:v>
      </x:c>
      <x:c r="D65" s="21" t="str">
        <x:v>PRIMARY</x:v>
      </x:c>
      <x:c r="E65" s="21" t="str">
        <x:v>OPEN</x:v>
      </x:c>
      <x:c r="F65" s="21" t="str"/>
      <x:c r="G65" s="21" t="str"/>
      <x:c r="H65" s="21" t="str"/>
    </x:row>
    <x:row r="66">
      <x:c r="A66" s="21" t="str">
        <x:v>QE03-R01-SP26</x:v>
      </x:c>
      <x:c r="B66" s="21" t="str">
        <x:v>QE03-R01</x:v>
      </x:c>
      <x:c r="C66" s="21" t="str">
        <x:v>normal electrical isolation</x:v>
      </x:c>
      <x:c r="D66" s="21" t="str">
        <x:v>DIVERSE LOCAL</x:v>
      </x:c>
      <x:c r="E66" s="21" t="str">
        <x:v>OPEN</x:v>
      </x:c>
      <x:c r="F66" s="21" t="str"/>
      <x:c r="G66" s="21" t="str"/>
      <x:c r="H66" s="21" t="str"/>
    </x:row>
    <x:row r="67">
      <x:c r="A67" s="21" t="str">
        <x:v>QE03-R01-SP27</x:v>
      </x:c>
      <x:c r="B67" s="21" t="str">
        <x:v>QE03-R01</x:v>
      </x:c>
      <x:c r="C67" s="21" t="str">
        <x:v>normal electrical isolation</x:v>
      </x:c>
      <x:c r="D67" s="21" t="str">
        <x:v>MANUAL OR PASSIVE</x:v>
      </x:c>
      <x:c r="E67" s="21" t="str">
        <x:v>OPEN</x:v>
      </x:c>
      <x:c r="F67" s="21" t="str"/>
      <x:c r="G67" s="21" t="str"/>
      <x:c r="H67" s="21" t="str"/>
    </x:row>
    <x:row r="68">
      <x:c r="A68" s="21" t="str">
        <x:v>QE03-R01-SP28</x:v>
      </x:c>
      <x:c r="B68" s="21" t="str">
        <x:v>QE03-R01</x:v>
      </x:c>
      <x:c r="C68" s="21" t="str">
        <x:v>independent safety energy</x:v>
      </x:c>
      <x:c r="D68" s="21" t="str">
        <x:v>PRIMARY</x:v>
      </x:c>
      <x:c r="E68" s="21" t="str">
        <x:v>OPEN</x:v>
      </x:c>
      <x:c r="F68" s="21" t="str"/>
      <x:c r="G68" s="21" t="str"/>
      <x:c r="H68" s="21" t="str"/>
    </x:row>
    <x:row r="69">
      <x:c r="A69" s="21" t="str">
        <x:v>QE03-R01-SP29</x:v>
      </x:c>
      <x:c r="B69" s="21" t="str">
        <x:v>QE03-R01</x:v>
      </x:c>
      <x:c r="C69" s="21" t="str">
        <x:v>independent safety energy</x:v>
      </x:c>
      <x:c r="D69" s="21" t="str">
        <x:v>DIVERSE LOCAL</x:v>
      </x:c>
      <x:c r="E69" s="21" t="str">
        <x:v>OPEN</x:v>
      </x:c>
      <x:c r="F69" s="21" t="str"/>
      <x:c r="G69" s="21" t="str"/>
      <x:c r="H69" s="21" t="str"/>
    </x:row>
    <x:row r="70">
      <x:c r="A70" s="21" t="str">
        <x:v>QE03-R01-SP30</x:v>
      </x:c>
      <x:c r="B70" s="21" t="str">
        <x:v>QE03-R01</x:v>
      </x:c>
      <x:c r="C70" s="21" t="str">
        <x:v>independent safety energy</x:v>
      </x:c>
      <x:c r="D70" s="21" t="str">
        <x:v>MANUAL OR PASSIVE</x:v>
      </x:c>
      <x:c r="E70" s="21" t="str">
        <x:v>OPEN</x:v>
      </x:c>
      <x:c r="F70" s="21" t="str"/>
      <x:c r="G70" s="21" t="str"/>
      <x:c r="H70" s="21" t="str"/>
    </x:row>
    <x:row r="71">
      <x:c r="A71" s="21" t="str">
        <x:v>QE03-R01-SP31</x:v>
      </x:c>
      <x:c r="B71" s="21" t="str">
        <x:v>QE03-R01</x:v>
      </x:c>
      <x:c r="C71" s="21" t="str">
        <x:v>environmental boundary and safe vent</x:v>
      </x:c>
      <x:c r="D71" s="21" t="str">
        <x:v>PRIMARY</x:v>
      </x:c>
      <x:c r="E71" s="21" t="str">
        <x:v>OPEN</x:v>
      </x:c>
      <x:c r="F71" s="21" t="str"/>
      <x:c r="G71" s="21" t="str"/>
      <x:c r="H71" s="21" t="str"/>
    </x:row>
    <x:row r="72">
      <x:c r="A72" s="21" t="str">
        <x:v>QE03-R01-SP32</x:v>
      </x:c>
      <x:c r="B72" s="21" t="str">
        <x:v>QE03-R01</x:v>
      </x:c>
      <x:c r="C72" s="21" t="str">
        <x:v>environmental boundary and safe vent</x:v>
      </x:c>
      <x:c r="D72" s="21" t="str">
        <x:v>DIVERSE LOCAL</x:v>
      </x:c>
      <x:c r="E72" s="21" t="str">
        <x:v>OPEN</x:v>
      </x:c>
      <x:c r="F72" s="21" t="str"/>
      <x:c r="G72" s="21" t="str"/>
      <x:c r="H72" s="21" t="str"/>
    </x:row>
    <x:row r="73">
      <x:c r="A73" s="21" t="str">
        <x:v>QE03-R01-SP33</x:v>
      </x:c>
      <x:c r="B73" s="21" t="str">
        <x:v>QE03-R01</x:v>
      </x:c>
      <x:c r="C73" s="21" t="str">
        <x:v>environmental boundary and safe vent</x:v>
      </x:c>
      <x:c r="D73" s="21" t="str">
        <x:v>MANUAL OR PASSIVE</x:v>
      </x:c>
      <x:c r="E73" s="21" t="str">
        <x:v>OPEN</x:v>
      </x:c>
      <x:c r="F73" s="21" t="str"/>
      <x:c r="G73" s="21" t="str"/>
      <x:c r="H73" s="21" t="str"/>
    </x:row>
    <x:row r="74">
      <x:c r="A74" s="21" t="str">
        <x:v>QE03-R01-SP34</x:v>
      </x:c>
      <x:c r="B74" s="21" t="str">
        <x:v>QE03-R01</x:v>
      </x:c>
      <x:c r="C74" s="21" t="str">
        <x:v>evidence safe-state latch</x:v>
      </x:c>
      <x:c r="D74" s="21" t="str">
        <x:v>PRIMARY</x:v>
      </x:c>
      <x:c r="E74" s="21" t="str">
        <x:v>OPEN</x:v>
      </x:c>
      <x:c r="F74" s="21" t="str"/>
      <x:c r="G74" s="21" t="str"/>
      <x:c r="H74" s="21" t="str"/>
    </x:row>
    <x:row r="75">
      <x:c r="A75" s="21" t="str">
        <x:v>QE03-R01-SP35</x:v>
      </x:c>
      <x:c r="B75" s="21" t="str">
        <x:v>QE03-R01</x:v>
      </x:c>
      <x:c r="C75" s="21" t="str">
        <x:v>evidence safe-state latch</x:v>
      </x:c>
      <x:c r="D75" s="21" t="str">
        <x:v>DIVERSE LOCAL</x:v>
      </x:c>
      <x:c r="E75" s="21" t="str">
        <x:v>OPEN</x:v>
      </x:c>
      <x:c r="F75" s="21" t="str"/>
      <x:c r="G75" s="21" t="str"/>
      <x:c r="H75" s="21" t="str"/>
    </x:row>
    <x:row r="76">
      <x:c r="A76" s="21" t="str">
        <x:v>QE03-R01-SP36</x:v>
      </x:c>
      <x:c r="B76" s="21" t="str">
        <x:v>QE03-R01</x:v>
      </x:c>
      <x:c r="C76" s="21" t="str">
        <x:v>evidence safe-state latch</x:v>
      </x:c>
      <x:c r="D76" s="21" t="str">
        <x:v>MANUAL OR PASSIVE</x:v>
      </x:c>
      <x:c r="E76" s="21" t="str">
        <x:v>OPEN</x:v>
      </x:c>
      <x:c r="F76" s="21" t="str"/>
      <x:c r="G76" s="21" t="str"/>
      <x:c r="H76" s="21" t="str"/>
    </x:row>
  </x:sheetData>
  <x:conditionalFormatting sqref="E5:E76">
    <x:cfRule type="containsText" dxfId="90" priority="1" operator="containsText" text="PASS"/>
    <x:cfRule type="containsText" dxfId="91" priority="2" operator="containsText" text="ACCEPTED"/>
    <x:cfRule type="containsText" dxfId="92" priority="3" operator="containsText" text="OPEN"/>
    <x:cfRule type="containsText" dxfId="93" priority="4" operator="containsText" text="BLOCKED"/>
    <x:cfRule type="containsText" dxfId="94" priority="5" operator="containsText" text="FAIL"/>
    <x:cfRule type="containsText" dxfId="95" priority="6" operator="containsText" text="STOP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4" hidden="0" customWidth="1"/>
    <x:col min="4" max="4" width="44" hidden="0" customWidth="1"/>
    <x:col min="5" max="5" width="15" hidden="0" customWidth="1"/>
    <x:col min="6" max="6" width="22" hidden="0" customWidth="1"/>
    <x:col min="7" max="7" width="27" hidden="0" customWidth="1"/>
  </x:cols>
  <x:sheetData>
    <x:row r="1" ht="28" customHeight="1">
      <x:c r="A1" s="17" t="str">
        <x:v>Twenty-four-phase QE-03 clock</x:v>
      </x:c>
      <x:c r="B1" s="17"/>
      <x:c r="C1" s="17"/>
      <x:c r="D1" s="17"/>
      <x:c r="E1" s="17"/>
      <x:c r="F1" s="17"/>
      <x:c r="G1" s="17"/>
    </x:row>
    <x:row r="2" ht="34" customHeight="1">
      <x:c r="A2" s="18" t="str">
        <x:v>Elapsed time never substitutes for a required physical state or decision.</x:v>
      </x:c>
      <x:c r="B2" s="18"/>
      <x:c r="C2" s="18"/>
      <x:c r="D2" s="18"/>
      <x:c r="E2" s="18"/>
      <x:c r="F2" s="18"/>
      <x:c r="G2" s="18"/>
    </x:row>
    <x:row r="3">
      <x:c r="A3" s="19"/>
      <x:c r="B3" s="19"/>
      <x:c r="C3" s="19"/>
      <x:c r="D3" s="19"/>
      <x:c r="E3" s="19"/>
      <x:c r="F3" s="19"/>
      <x:c r="G3" s="19"/>
    </x:row>
    <x:row r="4">
      <x:c r="A4" s="20" t="str">
        <x:v>Phase</x:v>
      </x:c>
      <x:c r="B4" s="20" t="str">
        <x:v>Token</x:v>
      </x:c>
      <x:c r="C4" s="20" t="str">
        <x:v>Ordinal</x:v>
      </x:c>
      <x:c r="D4" s="20" t="str">
        <x:v>Registered state</x:v>
      </x:c>
      <x:c r="E4" s="20" t="str">
        <x:v>State</x:v>
      </x:c>
      <x:c r="F4" s="20" t="str">
        <x:v>Observed UTC</x:v>
      </x:c>
      <x:c r="G4" s="20" t="str">
        <x:v>Evidence root</x:v>
      </x:c>
    </x:row>
    <x:row r="5">
      <x:c r="A5" s="21" t="str">
        <x:v>QE03-P01-PH01</x:v>
      </x:c>
      <x:c r="B5" s="21" t="str">
        <x:v>QE03-P01</x:v>
      </x:c>
      <x:c r="C5" s="21" t="n">
        <x:v>1</x:v>
      </x:c>
      <x:c r="D5" s="21" t="str">
        <x:v>T-96h configuration freeze</x:v>
      </x:c>
      <x:c r="E5" s="21" t="str">
        <x:v>OPEN</x:v>
      </x:c>
      <x:c r="F5" s="21" t="str"/>
      <x:c r="G5" s="21" t="str"/>
    </x:row>
    <x:row r="6">
      <x:c r="A6" s="21" t="str">
        <x:v>QE03-P01-PH02</x:v>
      </x:c>
      <x:c r="B6" s="21" t="str">
        <x:v>QE03-P01</x:v>
      </x:c>
      <x:c r="C6" s="21" t="n">
        <x:v>2</x:v>
      </x:c>
      <x:c r="D6" s="21" t="str">
        <x:v>T-72h package and source-property acceptance</x:v>
      </x:c>
      <x:c r="E6" s="21" t="str">
        <x:v>OPEN</x:v>
      </x:c>
      <x:c r="F6" s="21" t="str"/>
      <x:c r="G6" s="21" t="str"/>
    </x:row>
    <x:row r="7">
      <x:c r="A7" s="21" t="str">
        <x:v>QE03-P01-PH03</x:v>
      </x:c>
      <x:c r="B7" s="21" t="str">
        <x:v>QE03-P01</x:v>
      </x:c>
      <x:c r="C7" s="21" t="n">
        <x:v>3</x:v>
      </x:c>
      <x:c r="D7" s="21" t="str">
        <x:v>T-48h receiver and capture-plane acceptance</x:v>
      </x:c>
      <x:c r="E7" s="21" t="str">
        <x:v>OPEN</x:v>
      </x:c>
      <x:c r="F7" s="21" t="str"/>
      <x:c r="G7" s="21" t="str"/>
    </x:row>
    <x:row r="8">
      <x:c r="A8" s="21" t="str">
        <x:v>QE03-P01-PH04</x:v>
      </x:c>
      <x:c r="B8" s="21" t="str">
        <x:v>QE03-P01</x:v>
      </x:c>
      <x:c r="C8" s="21" t="n">
        <x:v>4</x:v>
      </x:c>
      <x:c r="D8" s="21" t="str">
        <x:v>T-24h rate packet and evidence reserve</x:v>
      </x:c>
      <x:c r="E8" s="21" t="str">
        <x:v>OPEN</x:v>
      </x:c>
      <x:c r="F8" s="21" t="str"/>
      <x:c r="G8" s="21" t="str"/>
    </x:row>
    <x:row r="9">
      <x:c r="A9" s="21" t="str">
        <x:v>QE03-P01-PH05</x:v>
      </x:c>
      <x:c r="B9" s="21" t="str">
        <x:v>QE03-P01</x:v>
      </x:c>
      <x:c r="C9" s="21" t="n">
        <x:v>5</x:v>
      </x:c>
      <x:c r="D9" s="21" t="str">
        <x:v>T-12h rescue, neighbor and environment acceptance</x:v>
      </x:c>
      <x:c r="E9" s="21" t="str">
        <x:v>OPEN</x:v>
      </x:c>
      <x:c r="F9" s="21" t="str"/>
      <x:c r="G9" s="21" t="str"/>
    </x:row>
    <x:row r="10">
      <x:c r="A10" s="21" t="str">
        <x:v>QE03-P01-PH06</x:v>
      </x:c>
      <x:c r="B10" s="21" t="str">
        <x:v>QE03-P01</x:v>
      </x:c>
      <x:c r="C10" s="21" t="n">
        <x:v>6</x:v>
      </x:c>
      <x:c r="D10" s="21" t="str">
        <x:v>T-6h calibration bookend</x:v>
      </x:c>
      <x:c r="E10" s="21" t="str">
        <x:v>OPEN</x:v>
      </x:c>
      <x:c r="F10" s="21" t="str"/>
      <x:c r="G10" s="21" t="str"/>
    </x:row>
    <x:row r="11">
      <x:c r="A11" s="21" t="str">
        <x:v>QE03-P01-PH07</x:v>
      </x:c>
      <x:c r="B11" s="21" t="str">
        <x:v>QE03-P01</x:v>
      </x:c>
      <x:c r="C11" s="21" t="n">
        <x:v>7</x:v>
      </x:c>
      <x:c r="D11" s="21" t="str">
        <x:v>T-2h incoming baseline acceptance</x:v>
      </x:c>
      <x:c r="E11" s="21" t="str">
        <x:v>OPEN</x:v>
      </x:c>
      <x:c r="F11" s="21" t="str"/>
      <x:c r="G11" s="21" t="str"/>
    </x:row>
    <x:row r="12">
      <x:c r="A12" s="21" t="str">
        <x:v>QE03-P01-PH08</x:v>
      </x:c>
      <x:c r="B12" s="21" t="str">
        <x:v>QE03-P01</x:v>
      </x:c>
      <x:c r="C12" s="21" t="n">
        <x:v>8</x:v>
      </x:c>
      <x:c r="D12" s="21" t="str">
        <x:v>T-1h crew and authority poll</x:v>
      </x:c>
      <x:c r="E12" s="21" t="str">
        <x:v>OPEN</x:v>
      </x:c>
      <x:c r="F12" s="21" t="str"/>
      <x:c r="G12" s="21" t="str"/>
    </x:row>
    <x:row r="13">
      <x:c r="A13" s="21" t="str">
        <x:v>QE03-P01-PH09</x:v>
      </x:c>
      <x:c r="B13" s="21" t="str">
        <x:v>QE03-P01</x:v>
      </x:c>
      <x:c r="C13" s="21" t="n">
        <x:v>9</x:v>
      </x:c>
      <x:c r="D13" s="21" t="str">
        <x:v>T-30m source custody transfer</x:v>
      </x:c>
      <x:c r="E13" s="21" t="str">
        <x:v>OPEN</x:v>
      </x:c>
      <x:c r="F13" s="21" t="str"/>
      <x:c r="G13" s="21" t="str"/>
    </x:row>
    <x:row r="14">
      <x:c r="A14" s="21" t="str">
        <x:v>QE03-P01-PH10</x:v>
      </x:c>
      <x:c r="B14" s="21" t="str">
        <x:v>QE03-P01</x:v>
      </x:c>
      <x:c r="C14" s="21" t="n">
        <x:v>10</x:v>
      </x:c>
      <x:c r="D14" s="21" t="str">
        <x:v>T-10m two originals armed</x:v>
      </x:c>
      <x:c r="E14" s="21" t="str">
        <x:v>OPEN</x:v>
      </x:c>
      <x:c r="F14" s="21" t="str"/>
      <x:c r="G14" s="21" t="str"/>
    </x:row>
    <x:row r="15">
      <x:c r="A15" s="21" t="str">
        <x:v>QE03-P01-PH11</x:v>
      </x:c>
      <x:c r="B15" s="21" t="str">
        <x:v>QE03-P01</x:v>
      </x:c>
      <x:c r="C15" s="21" t="n">
        <x:v>11</x:v>
      </x:c>
      <x:c r="D15" s="21" t="str">
        <x:v>T-2m final-element poll</x:v>
      </x:c>
      <x:c r="E15" s="21" t="str">
        <x:v>OPEN</x:v>
      </x:c>
      <x:c r="F15" s="21" t="str"/>
      <x:c r="G15" s="21" t="str"/>
    </x:row>
    <x:row r="16">
      <x:c r="A16" s="21" t="str">
        <x:v>QE03-P01-PH12</x:v>
      </x:c>
      <x:c r="B16" s="21" t="str">
        <x:v>QE03-P01</x:v>
      </x:c>
      <x:c r="C16" s="21" t="n">
        <x:v>12</x:v>
      </x:c>
      <x:c r="D16" s="21" t="str">
        <x:v>T-30s local clocks armed</x:v>
      </x:c>
      <x:c r="E16" s="21" t="str">
        <x:v>OPEN</x:v>
      </x:c>
      <x:c r="F16" s="21" t="str"/>
      <x:c r="G16" s="21" t="str"/>
    </x:row>
    <x:row r="17">
      <x:c r="A17" s="21" t="str">
        <x:v>QE03-P01-PH13</x:v>
      </x:c>
      <x:c r="B17" s="21" t="str">
        <x:v>QE03-P01</x:v>
      </x:c>
      <x:c r="C17" s="21" t="n">
        <x:v>13</x:v>
      </x:c>
      <x:c r="D17" s="21" t="str">
        <x:v>T0 registered source command</x:v>
      </x:c>
      <x:c r="E17" s="21" t="str">
        <x:v>OPEN</x:v>
      </x:c>
      <x:c r="F17" s="21" t="str"/>
      <x:c r="G17" s="21" t="str"/>
    </x:row>
    <x:row r="18">
      <x:c r="A18" s="21" t="str">
        <x:v>QE03-P01-PH14</x:v>
      </x:c>
      <x:c r="B18" s="21" t="str">
        <x:v>QE03-P01</x:v>
      </x:c>
      <x:c r="C18" s="21" t="n">
        <x:v>14</x:v>
      </x:c>
      <x:c r="D18" s="21" t="str">
        <x:v>T+1s physical actuation witness</x:v>
      </x:c>
      <x:c r="E18" s="21" t="str">
        <x:v>OPEN</x:v>
      </x:c>
      <x:c r="F18" s="21" t="str"/>
      <x:c r="G18" s="21" t="str"/>
    </x:row>
    <x:row r="19">
      <x:c r="A19" s="21" t="str">
        <x:v>QE03-P01-PH15</x:v>
      </x:c>
      <x:c r="B19" s="21" t="str">
        <x:v>QE03-P01</x:v>
      </x:c>
      <x:c r="C19" s="21" t="n">
        <x:v>15</x:v>
      </x:c>
      <x:c r="D19" s="21" t="str">
        <x:v>T+120s planned schedule end</x:v>
      </x:c>
      <x:c r="E19" s="21" t="str">
        <x:v>OPEN</x:v>
      </x:c>
      <x:c r="F19" s="21" t="str"/>
      <x:c r="G19" s="21" t="str"/>
    </x:row>
    <x:row r="20">
      <x:c r="A20" s="21" t="str">
        <x:v>QE03-P01-PH16</x:v>
      </x:c>
      <x:c r="B20" s="21" t="str">
        <x:v>QE03-P01</x:v>
      </x:c>
      <x:c r="C20" s="21" t="n">
        <x:v>16</x:v>
      </x:c>
      <x:c r="D20" s="21" t="str">
        <x:v>T+150s terminal-source limit</x:v>
      </x:c>
      <x:c r="E20" s="21" t="str">
        <x:v>OPEN</x:v>
      </x:c>
      <x:c r="F20" s="21" t="str"/>
      <x:c r="G20" s="21" t="str"/>
    </x:row>
    <x:row r="21">
      <x:c r="A21" s="21" t="str">
        <x:v>QE03-P01-PH17</x:v>
      </x:c>
      <x:c r="B21" s="21" t="str">
        <x:v>QE03-P01</x:v>
      </x:c>
      <x:c r="C21" s="21" t="n">
        <x:v>17</x:v>
      </x:c>
      <x:c r="D21" s="21" t="str">
        <x:v>T+5m receiver and area stabilization</x:v>
      </x:c>
      <x:c r="E21" s="21" t="str">
        <x:v>OPEN</x:v>
      </x:c>
      <x:c r="F21" s="21" t="str"/>
      <x:c r="G21" s="21" t="str"/>
    </x:row>
    <x:row r="22">
      <x:c r="A22" s="21" t="str">
        <x:v>QE03-P01-PH18</x:v>
      </x:c>
      <x:c r="B22" s="21" t="str">
        <x:v>QE03-P01</x:v>
      </x:c>
      <x:c r="C22" s="21" t="n">
        <x:v>18</x:v>
      </x:c>
      <x:c r="D22" s="21" t="str">
        <x:v>T+15m first remote residue map</x:v>
      </x:c>
      <x:c r="E22" s="21" t="str">
        <x:v>OPEN</x:v>
      </x:c>
      <x:c r="F22" s="21" t="str"/>
      <x:c r="G22" s="21" t="str"/>
    </x:row>
    <x:row r="23">
      <x:c r="A23" s="21" t="str">
        <x:v>QE03-P01-PH19</x:v>
      </x:c>
      <x:c r="B23" s="21" t="str">
        <x:v>QE03-P01</x:v>
      </x:c>
      <x:c r="C23" s="21" t="n">
        <x:v>19</x:v>
      </x:c>
      <x:c r="D23" s="21" t="str">
        <x:v>T+30m recovery authority decision</x:v>
      </x:c>
      <x:c r="E23" s="21" t="str">
        <x:v>OPEN</x:v>
      </x:c>
      <x:c r="F23" s="21" t="str"/>
      <x:c r="G23" s="21" t="str"/>
    </x:row>
    <x:row r="24">
      <x:c r="A24" s="21" t="str">
        <x:v>QE03-P01-PH20</x:v>
      </x:c>
      <x:c r="B24" s="21" t="str">
        <x:v>QE03-P01</x:v>
      </x:c>
      <x:c r="C24" s="21" t="n">
        <x:v>20</x:v>
      </x:c>
      <x:c r="D24" s="21" t="str">
        <x:v>T+2h source-bin draft</x:v>
      </x:c>
      <x:c r="E24" s="21" t="str">
        <x:v>OPEN</x:v>
      </x:c>
      <x:c r="F24" s="21" t="str"/>
      <x:c r="G24" s="21" t="str"/>
    </x:row>
    <x:row r="25">
      <x:c r="A25" s="21" t="str">
        <x:v>QE03-P01-PH21</x:v>
      </x:c>
      <x:c r="B25" s="21" t="str">
        <x:v>QE03-P01</x:v>
      </x:c>
      <x:c r="C25" s="21" t="n">
        <x:v>21</x:v>
      </x:c>
      <x:c r="D25" s="21" t="str">
        <x:v>T+12h evidence tail ends</x:v>
      </x:c>
      <x:c r="E25" s="21" t="str">
        <x:v>OPEN</x:v>
      </x:c>
      <x:c r="F25" s="21" t="str"/>
      <x:c r="G25" s="21" t="str"/>
    </x:row>
    <x:row r="26">
      <x:c r="A26" s="21" t="str">
        <x:v>QE03-P01-PH22</x:v>
      </x:c>
      <x:c r="B26" s="21" t="str">
        <x:v>QE03-P01</x:v>
      </x:c>
      <x:c r="C26" s="21" t="n">
        <x:v>22</x:v>
      </x:c>
      <x:c r="D26" s="21" t="str">
        <x:v>T+72h delayed residue observation</x:v>
      </x:c>
      <x:c r="E26" s="21" t="str">
        <x:v>OPEN</x:v>
      </x:c>
      <x:c r="F26" s="21" t="str"/>
      <x:c r="G26" s="21" t="str"/>
    </x:row>
    <x:row r="27">
      <x:c r="A27" s="21" t="str">
        <x:v>QE03-P01-PH23</x:v>
      </x:c>
      <x:c r="B27" s="21" t="str">
        <x:v>QE03-P01</x:v>
      </x:c>
      <x:c r="C27" s="21" t="n">
        <x:v>23</x:v>
      </x:c>
      <x:c r="D27" s="21" t="str">
        <x:v>T+336h second delayed observation</x:v>
      </x:c>
      <x:c r="E27" s="21" t="str">
        <x:v>OPEN</x:v>
      </x:c>
      <x:c r="F27" s="21" t="str"/>
      <x:c r="G27" s="21" t="str"/>
    </x:row>
    <x:row r="28">
      <x:c r="A28" s="21" t="str">
        <x:v>QE03-P01-PH24</x:v>
      </x:c>
      <x:c r="B28" s="21" t="str">
        <x:v>QE03-P01</x:v>
      </x:c>
      <x:c r="C28" s="21" t="n">
        <x:v>24</x:v>
      </x:c>
      <x:c r="D28" s="21" t="str">
        <x:v>T+504h earliest return decision</x:v>
      </x:c>
      <x:c r="E28" s="21" t="str">
        <x:v>OPEN</x:v>
      </x:c>
      <x:c r="F28" s="21" t="str"/>
      <x:c r="G28" s="21" t="str"/>
    </x:row>
    <x:row r="29">
      <x:c r="A29" s="21" t="str">
        <x:v>QE03-R01-PH01</x:v>
      </x:c>
      <x:c r="B29" s="21" t="str">
        <x:v>QE03-R01</x:v>
      </x:c>
      <x:c r="C29" s="21" t="n">
        <x:v>1</x:v>
      </x:c>
      <x:c r="D29" s="21" t="str">
        <x:v>T-96h configuration freeze</x:v>
      </x:c>
      <x:c r="E29" s="21" t="str">
        <x:v>OPEN</x:v>
      </x:c>
      <x:c r="F29" s="21" t="str"/>
      <x:c r="G29" s="21" t="str"/>
    </x:row>
    <x:row r="30">
      <x:c r="A30" s="21" t="str">
        <x:v>QE03-R01-PH02</x:v>
      </x:c>
      <x:c r="B30" s="21" t="str">
        <x:v>QE03-R01</x:v>
      </x:c>
      <x:c r="C30" s="21" t="n">
        <x:v>2</x:v>
      </x:c>
      <x:c r="D30" s="21" t="str">
        <x:v>T-72h package and source-property acceptance</x:v>
      </x:c>
      <x:c r="E30" s="21" t="str">
        <x:v>OPEN</x:v>
      </x:c>
      <x:c r="F30" s="21" t="str"/>
      <x:c r="G30" s="21" t="str"/>
    </x:row>
    <x:row r="31">
      <x:c r="A31" s="21" t="str">
        <x:v>QE03-R01-PH03</x:v>
      </x:c>
      <x:c r="B31" s="21" t="str">
        <x:v>QE03-R01</x:v>
      </x:c>
      <x:c r="C31" s="21" t="n">
        <x:v>3</x:v>
      </x:c>
      <x:c r="D31" s="21" t="str">
        <x:v>T-48h receiver and capture-plane acceptance</x:v>
      </x:c>
      <x:c r="E31" s="21" t="str">
        <x:v>OPEN</x:v>
      </x:c>
      <x:c r="F31" s="21" t="str"/>
      <x:c r="G31" s="21" t="str"/>
    </x:row>
    <x:row r="32">
      <x:c r="A32" s="21" t="str">
        <x:v>QE03-R01-PH04</x:v>
      </x:c>
      <x:c r="B32" s="21" t="str">
        <x:v>QE03-R01</x:v>
      </x:c>
      <x:c r="C32" s="21" t="n">
        <x:v>4</x:v>
      </x:c>
      <x:c r="D32" s="21" t="str">
        <x:v>T-24h rate packet and evidence reserve</x:v>
      </x:c>
      <x:c r="E32" s="21" t="str">
        <x:v>OPEN</x:v>
      </x:c>
      <x:c r="F32" s="21" t="str"/>
      <x:c r="G32" s="21" t="str"/>
    </x:row>
    <x:row r="33">
      <x:c r="A33" s="21" t="str">
        <x:v>QE03-R01-PH05</x:v>
      </x:c>
      <x:c r="B33" s="21" t="str">
        <x:v>QE03-R01</x:v>
      </x:c>
      <x:c r="C33" s="21" t="n">
        <x:v>5</x:v>
      </x:c>
      <x:c r="D33" s="21" t="str">
        <x:v>T-12h rescue, neighbor and environment acceptance</x:v>
      </x:c>
      <x:c r="E33" s="21" t="str">
        <x:v>OPEN</x:v>
      </x:c>
      <x:c r="F33" s="21" t="str"/>
      <x:c r="G33" s="21" t="str"/>
    </x:row>
    <x:row r="34">
      <x:c r="A34" s="21" t="str">
        <x:v>QE03-R01-PH06</x:v>
      </x:c>
      <x:c r="B34" s="21" t="str">
        <x:v>QE03-R01</x:v>
      </x:c>
      <x:c r="C34" s="21" t="n">
        <x:v>6</x:v>
      </x:c>
      <x:c r="D34" s="21" t="str">
        <x:v>T-6h calibration bookend</x:v>
      </x:c>
      <x:c r="E34" s="21" t="str">
        <x:v>OPEN</x:v>
      </x:c>
      <x:c r="F34" s="21" t="str"/>
      <x:c r="G34" s="21" t="str"/>
    </x:row>
    <x:row r="35">
      <x:c r="A35" s="21" t="str">
        <x:v>QE03-R01-PH07</x:v>
      </x:c>
      <x:c r="B35" s="21" t="str">
        <x:v>QE03-R01</x:v>
      </x:c>
      <x:c r="C35" s="21" t="n">
        <x:v>7</x:v>
      </x:c>
      <x:c r="D35" s="21" t="str">
        <x:v>T-2h incoming baseline acceptance</x:v>
      </x:c>
      <x:c r="E35" s="21" t="str">
        <x:v>OPEN</x:v>
      </x:c>
      <x:c r="F35" s="21" t="str"/>
      <x:c r="G35" s="21" t="str"/>
    </x:row>
    <x:row r="36">
      <x:c r="A36" s="21" t="str">
        <x:v>QE03-R01-PH08</x:v>
      </x:c>
      <x:c r="B36" s="21" t="str">
        <x:v>QE03-R01</x:v>
      </x:c>
      <x:c r="C36" s="21" t="n">
        <x:v>8</x:v>
      </x:c>
      <x:c r="D36" s="21" t="str">
        <x:v>T-1h crew and authority poll</x:v>
      </x:c>
      <x:c r="E36" s="21" t="str">
        <x:v>OPEN</x:v>
      </x:c>
      <x:c r="F36" s="21" t="str"/>
      <x:c r="G36" s="21" t="str"/>
    </x:row>
    <x:row r="37">
      <x:c r="A37" s="21" t="str">
        <x:v>QE03-R01-PH09</x:v>
      </x:c>
      <x:c r="B37" s="21" t="str">
        <x:v>QE03-R01</x:v>
      </x:c>
      <x:c r="C37" s="21" t="n">
        <x:v>9</x:v>
      </x:c>
      <x:c r="D37" s="21" t="str">
        <x:v>T-30m source custody transfer</x:v>
      </x:c>
      <x:c r="E37" s="21" t="str">
        <x:v>OPEN</x:v>
      </x:c>
      <x:c r="F37" s="21" t="str"/>
      <x:c r="G37" s="21" t="str"/>
    </x:row>
    <x:row r="38">
      <x:c r="A38" s="21" t="str">
        <x:v>QE03-R01-PH10</x:v>
      </x:c>
      <x:c r="B38" s="21" t="str">
        <x:v>QE03-R01</x:v>
      </x:c>
      <x:c r="C38" s="21" t="n">
        <x:v>10</x:v>
      </x:c>
      <x:c r="D38" s="21" t="str">
        <x:v>T-10m two originals armed</x:v>
      </x:c>
      <x:c r="E38" s="21" t="str">
        <x:v>OPEN</x:v>
      </x:c>
      <x:c r="F38" s="21" t="str"/>
      <x:c r="G38" s="21" t="str"/>
    </x:row>
    <x:row r="39">
      <x:c r="A39" s="21" t="str">
        <x:v>QE03-R01-PH11</x:v>
      </x:c>
      <x:c r="B39" s="21" t="str">
        <x:v>QE03-R01</x:v>
      </x:c>
      <x:c r="C39" s="21" t="n">
        <x:v>11</x:v>
      </x:c>
      <x:c r="D39" s="21" t="str">
        <x:v>T-2m final-element poll</x:v>
      </x:c>
      <x:c r="E39" s="21" t="str">
        <x:v>OPEN</x:v>
      </x:c>
      <x:c r="F39" s="21" t="str"/>
      <x:c r="G39" s="21" t="str"/>
    </x:row>
    <x:row r="40">
      <x:c r="A40" s="21" t="str">
        <x:v>QE03-R01-PH12</x:v>
      </x:c>
      <x:c r="B40" s="21" t="str">
        <x:v>QE03-R01</x:v>
      </x:c>
      <x:c r="C40" s="21" t="n">
        <x:v>12</x:v>
      </x:c>
      <x:c r="D40" s="21" t="str">
        <x:v>T-30s local clocks armed</x:v>
      </x:c>
      <x:c r="E40" s="21" t="str">
        <x:v>OPEN</x:v>
      </x:c>
      <x:c r="F40" s="21" t="str"/>
      <x:c r="G40" s="21" t="str"/>
    </x:row>
    <x:row r="41">
      <x:c r="A41" s="21" t="str">
        <x:v>QE03-R01-PH13</x:v>
      </x:c>
      <x:c r="B41" s="21" t="str">
        <x:v>QE03-R01</x:v>
      </x:c>
      <x:c r="C41" s="21" t="n">
        <x:v>13</x:v>
      </x:c>
      <x:c r="D41" s="21" t="str">
        <x:v>T0 registered source command</x:v>
      </x:c>
      <x:c r="E41" s="21" t="str">
        <x:v>OPEN</x:v>
      </x:c>
      <x:c r="F41" s="21" t="str"/>
      <x:c r="G41" s="21" t="str"/>
    </x:row>
    <x:row r="42">
      <x:c r="A42" s="21" t="str">
        <x:v>QE03-R01-PH14</x:v>
      </x:c>
      <x:c r="B42" s="21" t="str">
        <x:v>QE03-R01</x:v>
      </x:c>
      <x:c r="C42" s="21" t="n">
        <x:v>14</x:v>
      </x:c>
      <x:c r="D42" s="21" t="str">
        <x:v>T+1s physical actuation witness</x:v>
      </x:c>
      <x:c r="E42" s="21" t="str">
        <x:v>OPEN</x:v>
      </x:c>
      <x:c r="F42" s="21" t="str"/>
      <x:c r="G42" s="21" t="str"/>
    </x:row>
    <x:row r="43">
      <x:c r="A43" s="21" t="str">
        <x:v>QE03-R01-PH15</x:v>
      </x:c>
      <x:c r="B43" s="21" t="str">
        <x:v>QE03-R01</x:v>
      </x:c>
      <x:c r="C43" s="21" t="n">
        <x:v>15</x:v>
      </x:c>
      <x:c r="D43" s="21" t="str">
        <x:v>T+120s planned schedule end</x:v>
      </x:c>
      <x:c r="E43" s="21" t="str">
        <x:v>OPEN</x:v>
      </x:c>
      <x:c r="F43" s="21" t="str"/>
      <x:c r="G43" s="21" t="str"/>
    </x:row>
    <x:row r="44">
      <x:c r="A44" s="21" t="str">
        <x:v>QE03-R01-PH16</x:v>
      </x:c>
      <x:c r="B44" s="21" t="str">
        <x:v>QE03-R01</x:v>
      </x:c>
      <x:c r="C44" s="21" t="n">
        <x:v>16</x:v>
      </x:c>
      <x:c r="D44" s="21" t="str">
        <x:v>T+150s terminal-source limit</x:v>
      </x:c>
      <x:c r="E44" s="21" t="str">
        <x:v>OPEN</x:v>
      </x:c>
      <x:c r="F44" s="21" t="str"/>
      <x:c r="G44" s="21" t="str"/>
    </x:row>
    <x:row r="45">
      <x:c r="A45" s="21" t="str">
        <x:v>QE03-R01-PH17</x:v>
      </x:c>
      <x:c r="B45" s="21" t="str">
        <x:v>QE03-R01</x:v>
      </x:c>
      <x:c r="C45" s="21" t="n">
        <x:v>17</x:v>
      </x:c>
      <x:c r="D45" s="21" t="str">
        <x:v>T+5m receiver and area stabilization</x:v>
      </x:c>
      <x:c r="E45" s="21" t="str">
        <x:v>OPEN</x:v>
      </x:c>
      <x:c r="F45" s="21" t="str"/>
      <x:c r="G45" s="21" t="str"/>
    </x:row>
    <x:row r="46">
      <x:c r="A46" s="21" t="str">
        <x:v>QE03-R01-PH18</x:v>
      </x:c>
      <x:c r="B46" s="21" t="str">
        <x:v>QE03-R01</x:v>
      </x:c>
      <x:c r="C46" s="21" t="n">
        <x:v>18</x:v>
      </x:c>
      <x:c r="D46" s="21" t="str">
        <x:v>T+15m first remote residue map</x:v>
      </x:c>
      <x:c r="E46" s="21" t="str">
        <x:v>OPEN</x:v>
      </x:c>
      <x:c r="F46" s="21" t="str"/>
      <x:c r="G46" s="21" t="str"/>
    </x:row>
    <x:row r="47">
      <x:c r="A47" s="21" t="str">
        <x:v>QE03-R01-PH19</x:v>
      </x:c>
      <x:c r="B47" s="21" t="str">
        <x:v>QE03-R01</x:v>
      </x:c>
      <x:c r="C47" s="21" t="n">
        <x:v>19</x:v>
      </x:c>
      <x:c r="D47" s="21" t="str">
        <x:v>T+30m recovery authority decision</x:v>
      </x:c>
      <x:c r="E47" s="21" t="str">
        <x:v>OPEN</x:v>
      </x:c>
      <x:c r="F47" s="21" t="str"/>
      <x:c r="G47" s="21" t="str"/>
    </x:row>
    <x:row r="48">
      <x:c r="A48" s="21" t="str">
        <x:v>QE03-R01-PH20</x:v>
      </x:c>
      <x:c r="B48" s="21" t="str">
        <x:v>QE03-R01</x:v>
      </x:c>
      <x:c r="C48" s="21" t="n">
        <x:v>20</x:v>
      </x:c>
      <x:c r="D48" s="21" t="str">
        <x:v>T+2h source-bin draft</x:v>
      </x:c>
      <x:c r="E48" s="21" t="str">
        <x:v>OPEN</x:v>
      </x:c>
      <x:c r="F48" s="21" t="str"/>
      <x:c r="G48" s="21" t="str"/>
    </x:row>
    <x:row r="49">
      <x:c r="A49" s="21" t="str">
        <x:v>QE03-R01-PH21</x:v>
      </x:c>
      <x:c r="B49" s="21" t="str">
        <x:v>QE03-R01</x:v>
      </x:c>
      <x:c r="C49" s="21" t="n">
        <x:v>21</x:v>
      </x:c>
      <x:c r="D49" s="21" t="str">
        <x:v>T+12h evidence tail ends</x:v>
      </x:c>
      <x:c r="E49" s="21" t="str">
        <x:v>OPEN</x:v>
      </x:c>
      <x:c r="F49" s="21" t="str"/>
      <x:c r="G49" s="21" t="str"/>
    </x:row>
    <x:row r="50">
      <x:c r="A50" s="21" t="str">
        <x:v>QE03-R01-PH22</x:v>
      </x:c>
      <x:c r="B50" s="21" t="str">
        <x:v>QE03-R01</x:v>
      </x:c>
      <x:c r="C50" s="21" t="n">
        <x:v>22</x:v>
      </x:c>
      <x:c r="D50" s="21" t="str">
        <x:v>T+72h delayed residue observation</x:v>
      </x:c>
      <x:c r="E50" s="21" t="str">
        <x:v>OPEN</x:v>
      </x:c>
      <x:c r="F50" s="21" t="str"/>
      <x:c r="G50" s="21" t="str"/>
    </x:row>
    <x:row r="51">
      <x:c r="A51" s="21" t="str">
        <x:v>QE03-R01-PH23</x:v>
      </x:c>
      <x:c r="B51" s="21" t="str">
        <x:v>QE03-R01</x:v>
      </x:c>
      <x:c r="C51" s="21" t="n">
        <x:v>23</x:v>
      </x:c>
      <x:c r="D51" s="21" t="str">
        <x:v>T+336h second delayed observation</x:v>
      </x:c>
      <x:c r="E51" s="21" t="str">
        <x:v>OPEN</x:v>
      </x:c>
      <x:c r="F51" s="21" t="str"/>
      <x:c r="G51" s="21" t="str"/>
    </x:row>
    <x:row r="52">
      <x:c r="A52" s="21" t="str">
        <x:v>QE03-R01-PH24</x:v>
      </x:c>
      <x:c r="B52" s="21" t="str">
        <x:v>QE03-R01</x:v>
      </x:c>
      <x:c r="C52" s="21" t="n">
        <x:v>24</x:v>
      </x:c>
      <x:c r="D52" s="21" t="str">
        <x:v>T+504h earliest return decision</x:v>
      </x:c>
      <x:c r="E52" s="21" t="str">
        <x:v>OPEN</x:v>
      </x:c>
      <x:c r="F52" s="21" t="str"/>
      <x:c r="G52" s="21" t="str"/>
    </x:row>
  </x:sheetData>
  <x:conditionalFormatting sqref="E5:E52">
    <x:cfRule type="containsText" dxfId="96" priority="1" operator="containsText" text="PASS"/>
    <x:cfRule type="containsText" dxfId="97" priority="2" operator="containsText" text="ACCEPTED"/>
    <x:cfRule type="containsText" dxfId="98" priority="3" operator="containsText" text="OPEN"/>
    <x:cfRule type="containsText" dxfId="99" priority="4" operator="containsText" text="BLOCKED"/>
    <x:cfRule type="containsText" dxfId="100" priority="5" operator="containsText" text="FAIL"/>
    <x:cfRule type="containsText" dxfId="101" priority="6" operator="containsText" text="STOP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67" hidden="0" customWidth="1"/>
    <x:col min="5" max="5" width="43" hidden="0" customWidth="1"/>
  </x:cols>
  <x:sheetData>
    <x:row r="1" ht="28" customHeight="1">
      <x:c r="A1" s="17" t="str">
        <x:v>QE-03 outcome law</x:v>
      </x:c>
      <x:c r="B1" s="17"/>
      <x:c r="C1" s="17"/>
      <x:c r="D1" s="17"/>
      <x:c r="E1" s="17"/>
    </x:row>
    <x:row r="2" ht="34" customHeight="1">
      <x:c r="A2" s="18" t="str">
        <x:v>Validity precedes outcome. A valid adverse result cannot be repeated into disappearance.</x:v>
      </x:c>
      <x:c r="B2" s="18"/>
      <x:c r="C2" s="18"/>
      <x:c r="D2" s="18"/>
      <x:c r="E2" s="18"/>
    </x:row>
    <x:row r="3">
      <x:c r="A3" s="19"/>
      <x:c r="B3" s="19"/>
      <x:c r="C3" s="19"/>
      <x:c r="D3" s="19"/>
      <x:c r="E3" s="19"/>
    </x:row>
    <x:row r="4">
      <x:c r="A4" s="20" t="str">
        <x:v>Outcome</x:v>
      </x:c>
      <x:c r="B4" s="20" t="str">
        <x:v>Validity</x:v>
      </x:c>
      <x:c r="C4" s="20" t="str">
        <x:v>Cell credit</x:v>
      </x:c>
      <x:c r="D4" s="20" t="str">
        <x:v>Definition</x:v>
      </x:c>
      <x:c r="E4" s="20" t="str">
        <x:v>Continuation</x:v>
      </x:c>
    </x:row>
    <x:row r="5">
      <x:c r="A5" s="21" t="str">
        <x:v>SUCCESS-CONTAINED</x:v>
      </x:c>
      <x:c r="B5" s="21" t="str">
        <x:v>VALID</x:v>
      </x:c>
      <x:c r="C5" s="21" t="str">
        <x:v>yes</x:v>
      </x:c>
      <x:c r="D5" s="21" t="str">
        <x:v>all source, pressure, receiver, area, evidence and return bounds close</x:v>
      </x:c>
      <x:c r="E5" s="21" t="str">
        <x:v>one exact cell credit</x:v>
      </x:c>
    </x:row>
    <x:row r="6">
      <x:c r="A6" s="21" t="str">
        <x:v>ADVERSE-TERMINAL-SOURCE</x:v>
      </x:c>
      <x:c r="B6" s="21" t="str">
        <x:v>VALID</x:v>
      </x:c>
      <x:c r="C6" s="21" t="str">
        <x:v>no</x:v>
      </x:c>
      <x:c r="D6" s="21" t="str">
        <x:v>new source not terminal within 30 seconds</x:v>
      </x:c>
      <x:c r="E6" s="21" t="str">
        <x:v>retain; no replacement</x:v>
      </x:c>
    </x:row>
    <x:row r="7">
      <x:c r="A7" s="21" t="str">
        <x:v>ADVERSE-PRESSURE</x:v>
      </x:c>
      <x:c r="B7" s="21" t="str">
        <x:v>VALID</x:v>
      </x:c>
      <x:c r="C7" s="21" t="str">
        <x:v>no</x:v>
      </x:c>
      <x:c r="D7" s="21" t="str">
        <x:v>accepted pressure or relief boundary exceeded</x:v>
      </x:c>
      <x:c r="E7" s="21" t="str">
        <x:v>retain; no replacement</x:v>
      </x:c>
    </x:row>
    <x:row r="8">
      <x:c r="A8" s="21" t="str">
        <x:v>ADVERSE-RECEIVER</x:v>
      </x:c>
      <x:c r="B8" s="21" t="str">
        <x:v>VALID</x:v>
      </x:c>
      <x:c r="C8" s="21" t="str">
        <x:v>no</x:v>
      </x:c>
      <x:c r="D8" s="21" t="str">
        <x:v>normal receiver capacity or custody fails</x:v>
      </x:c>
      <x:c r="E8" s="21" t="str">
        <x:v>retain; no replacement</x:v>
      </x:c>
    </x:row>
    <x:row r="9">
      <x:c r="A9" s="21" t="str">
        <x:v>ADVERSE-AREA</x:v>
      </x:c>
      <x:c r="B9" s="21" t="str">
        <x:v>VALID</x:v>
      </x:c>
      <x:c r="C9" s="21" t="str">
        <x:v>no</x:v>
      </x:c>
      <x:c r="D9" s="21" t="str">
        <x:v>occupied capture area exceeds 5 m2</x:v>
      </x:c>
      <x:c r="E9" s="21" t="str">
        <x:v>retain; no replacement</x:v>
      </x:c>
    </x:row>
    <x:row r="10">
      <x:c r="A10" s="21" t="str">
        <x:v>ADVERSE-SOURCE-ACCOUNT</x:v>
      </x:c>
      <x:c r="B10" s="21" t="str">
        <x:v>VALID</x:v>
      </x:c>
      <x:c r="C10" s="21" t="str">
        <x:v>no</x:v>
      </x:c>
      <x:c r="D10" s="21" t="str">
        <x:v>environmental or unaccounted source exceeds fixed budget</x:v>
      </x:c>
      <x:c r="E10" s="21" t="str">
        <x:v>retain; no replacement</x:v>
      </x:c>
    </x:row>
    <x:row r="11">
      <x:c r="A11" s="21" t="str">
        <x:v>ADVERSE-SAFEING</x:v>
      </x:c>
      <x:c r="B11" s="21" t="str">
        <x:v>VALID</x:v>
      </x:c>
      <x:c r="C11" s="21" t="str">
        <x:v>no</x:v>
      </x:c>
      <x:c r="D11" s="21" t="str">
        <x:v>required final state or path independence fails</x:v>
      </x:c>
      <x:c r="E11" s="21" t="str">
        <x:v>retain; no replacement</x:v>
      </x:c>
    </x:row>
    <x:row r="12">
      <x:c r="A12" s="21" t="str">
        <x:v>ADVERSE-PUBLIC-ACTION</x:v>
      </x:c>
      <x:c r="B12" s="21" t="str">
        <x:v>VALID</x:v>
      </x:c>
      <x:c r="C12" s="21" t="str">
        <x:v>no</x:v>
      </x:c>
      <x:c r="D12" s="21" t="str">
        <x:v>public intervention preserves safety but method proposition fails</x:v>
      </x:c>
      <x:c r="E12" s="21" t="str">
        <x:v>retain; no replacement</x:v>
      </x:c>
    </x:row>
    <x:row r="13">
      <x:c r="A13" s="21" t="str">
        <x:v>INVALID-IDENTITY</x:v>
      </x:c>
      <x:c r="B13" s="21" t="str">
        <x:v>INVALID</x:v>
      </x:c>
      <x:c r="C13" s="21" t="str">
        <x:v>no</x:v>
      </x:c>
      <x:c r="D13" s="21" t="str">
        <x:v>wrong cell, package, article or baseline</x:v>
      </x:c>
      <x:c r="E13" s="21" t="str">
        <x:v>same-cell replacement may activate</x:v>
      </x:c>
    </x:row>
    <x:row r="14">
      <x:c r="A14" s="21" t="str">
        <x:v>INVALID-METROLOGY</x:v>
      </x:c>
      <x:c r="B14" s="21" t="str">
        <x:v>INVALID</x:v>
      </x:c>
      <x:c r="C14" s="21" t="str">
        <x:v>no</x:v>
      </x:c>
      <x:c r="D14" s="21" t="str">
        <x:v>decisive calibration or uncertainty unavailable</x:v>
      </x:c>
      <x:c r="E14" s="21" t="str">
        <x:v>same-cell replacement may activate</x:v>
      </x:c>
    </x:row>
    <x:row r="15">
      <x:c r="A15" s="21" t="str">
        <x:v>INVALID-EVIDENCE</x:v>
      </x:c>
      <x:c r="B15" s="21" t="str">
        <x:v>INVALID</x:v>
      </x:c>
      <x:c r="C15" s="21" t="str">
        <x:v>no</x:v>
      </x:c>
      <x:c r="D15" s="21" t="str">
        <x:v>decisive native evidence or causal time unavailable</x:v>
      </x:c>
      <x:c r="E15" s="21" t="str">
        <x:v>same-cell replacement may activate</x:v>
      </x:c>
    </x:row>
    <x:row r="16">
      <x:c r="A16" s="21" t="str">
        <x:v>OPEN</x:v>
      </x:c>
      <x:c r="B16" s="21" t="str">
        <x:v>OPEN</x:v>
      </x:c>
      <x:c r="C16" s="21" t="str">
        <x:v>no</x:v>
      </x:c>
      <x:c r="D16" s="21" t="str">
        <x:v>physical decision not issued</x:v>
      </x:c>
      <x:c r="E16" s="21" t="str">
        <x:v>no authority</x:v>
      </x:c>
    </x:row>
  </x:sheetData>
  <x:conditionalFormatting sqref="B5:B16">
    <x:cfRule type="containsText" dxfId="102" priority="1" operator="containsText" text="PASS"/>
    <x:cfRule type="containsText" dxfId="103" priority="2" operator="containsText" text="ACCEPTED"/>
    <x:cfRule type="containsText" dxfId="104" priority="3" operator="containsText" text="OPEN"/>
    <x:cfRule type="containsText" dxfId="105" priority="4" operator="containsText" text="BLOCKED"/>
    <x:cfRule type="containsText" dxfId="106" priority="5" operator="containsText" text="FAIL"/>
    <x:cfRule type="containsText" dxfId="107" priority="6" operator="containsText" text="STOP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8" hidden="0" customWidth="1"/>
    <x:col min="4" max="4" width="14" hidden="0" customWidth="1"/>
    <x:col min="5" max="5" width="39" hidden="0" customWidth="1"/>
    <x:col min="6" max="6" width="15" hidden="0" customWidth="1"/>
    <x:col min="7" max="7" width="27" hidden="0" customWidth="1"/>
    <x:col min="8" max="8" width="22" hidden="0" customWidth="1"/>
  </x:cols>
  <x:sheetData>
    <x:row r="1" ht="28" customHeight="1">
      <x:c r="A1" s="17" t="str">
        <x:v>Source-exposed pair return</x:v>
      </x:c>
      <x:c r="B1" s="17"/>
      <x:c r="C1" s="17"/>
      <x:c r="D1" s="17"/>
      <x:c r="E1" s="17"/>
      <x:c r="F1" s="17"/>
      <x:c r="G1" s="17"/>
      <x:c r="H1" s="17"/>
    </x:row>
    <x:row r="2" ht="34" customHeight="1">
      <x:c r="A2" s="18" t="str">
        <x:v>Twenty work packages and fourteen decisions are required per attempt. Earliest decision is 504 hours after T0.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Record</x:v>
      </x:c>
      <x:c r="B4" s="20" t="str">
        <x:v>Token</x:v>
      </x:c>
      <x:c r="C4" s="20" t="str">
        <x:v>Type</x:v>
      </x:c>
      <x:c r="D4" s="20" t="str">
        <x:v>Ordinal</x:v>
      </x:c>
      <x:c r="E4" s="20" t="str">
        <x:v>Object</x:v>
      </x:c>
      <x:c r="F4" s="20" t="str">
        <x:v>State</x:v>
      </x:c>
      <x:c r="G4" s="20" t="str">
        <x:v>Evidence root</x:v>
      </x:c>
      <x:c r="H4" s="20" t="str">
        <x:v>Accepted UTC</x:v>
      </x:c>
    </x:row>
    <x:row r="5">
      <x:c r="A5" s="21" t="str">
        <x:v>QE03-P01-RW01</x:v>
      </x:c>
      <x:c r="B5" s="21" t="str">
        <x:v>QE03-P01</x:v>
      </x:c>
      <x:c r="C5" s="21" t="str">
        <x:v>WORK PACKAGE</x:v>
      </x:c>
      <x:c r="D5" s="21" t="n">
        <x:v>1</x:v>
      </x:c>
      <x:c r="E5" s="21" t="str">
        <x:v>initial quarantine</x:v>
      </x:c>
      <x:c r="F5" s="21" t="str">
        <x:v>OPEN</x:v>
      </x:c>
      <x:c r="G5" s="21" t="str"/>
      <x:c r="H5" s="21" t="str"/>
    </x:row>
    <x:row r="6">
      <x:c r="A6" s="21" t="str">
        <x:v>QE03-P01-RW02</x:v>
      </x:c>
      <x:c r="B6" s="21" t="str">
        <x:v>QE03-P01</x:v>
      </x:c>
      <x:c r="C6" s="21" t="str">
        <x:v>WORK PACKAGE</x:v>
      </x:c>
      <x:c r="D6" s="21" t="n">
        <x:v>2</x:v>
      </x:c>
      <x:c r="E6" s="21" t="str">
        <x:v>remote residue map</x:v>
      </x:c>
      <x:c r="F6" s="21" t="str">
        <x:v>OPEN</x:v>
      </x:c>
      <x:c r="G6" s="21" t="str"/>
      <x:c r="H6" s="21" t="str"/>
    </x:row>
    <x:row r="7">
      <x:c r="A7" s="21" t="str">
        <x:v>QE03-P01-RW03</x:v>
      </x:c>
      <x:c r="B7" s="21" t="str">
        <x:v>QE03-P01</x:v>
      </x:c>
      <x:c r="C7" s="21" t="str">
        <x:v>WORK PACKAGE</x:v>
      </x:c>
      <x:c r="D7" s="21" t="n">
        <x:v>3</x:v>
      </x:c>
      <x:c r="E7" s="21" t="str">
        <x:v>package reconciliation</x:v>
      </x:c>
      <x:c r="F7" s="21" t="str">
        <x:v>OPEN</x:v>
      </x:c>
      <x:c r="G7" s="21" t="str"/>
      <x:c r="H7" s="21" t="str"/>
    </x:row>
    <x:row r="8">
      <x:c r="A8" s="21" t="str">
        <x:v>QE03-P01-RW04</x:v>
      </x:c>
      <x:c r="B8" s="21" t="str">
        <x:v>QE03-P01</x:v>
      </x:c>
      <x:c r="C8" s="21" t="str">
        <x:v>WORK PACKAGE</x:v>
      </x:c>
      <x:c r="D8" s="21" t="n">
        <x:v>4</x:v>
      </x:c>
      <x:c r="E8" s="21" t="str">
        <x:v>source-vessel state</x:v>
      </x:c>
      <x:c r="F8" s="21" t="str">
        <x:v>OPEN</x:v>
      </x:c>
      <x:c r="G8" s="21" t="str"/>
      <x:c r="H8" s="21" t="str"/>
    </x:row>
    <x:row r="9">
      <x:c r="A9" s="21" t="str">
        <x:v>QE03-P01-RW05</x:v>
      </x:c>
      <x:c r="B9" s="21" t="str">
        <x:v>QE03-P01</x:v>
      </x:c>
      <x:c r="C9" s="21" t="str">
        <x:v>WORK PACKAGE</x:v>
      </x:c>
      <x:c r="D9" s="21" t="n">
        <x:v>5</x:v>
      </x:c>
      <x:c r="E9" s="21" t="str">
        <x:v>route isolation</x:v>
      </x:c>
      <x:c r="F9" s="21" t="str">
        <x:v>OPEN</x:v>
      </x:c>
      <x:c r="G9" s="21" t="str"/>
      <x:c r="H9" s="21" t="str"/>
    </x:row>
    <x:row r="10">
      <x:c r="A10" s="21" t="str">
        <x:v>QE03-P01-RW06</x:v>
      </x:c>
      <x:c r="B10" s="21" t="str">
        <x:v>QE03-P01</x:v>
      </x:c>
      <x:c r="C10" s="21" t="str">
        <x:v>WORK PACKAGE</x:v>
      </x:c>
      <x:c r="D10" s="21" t="n">
        <x:v>6</x:v>
      </x:c>
      <x:c r="E10" s="21" t="str">
        <x:v>route drain</x:v>
      </x:c>
      <x:c r="F10" s="21" t="str">
        <x:v>OPEN</x:v>
      </x:c>
      <x:c r="G10" s="21" t="str"/>
      <x:c r="H10" s="21" t="str"/>
    </x:row>
    <x:row r="11">
      <x:c r="A11" s="21" t="str">
        <x:v>QE03-P01-RW07</x:v>
      </x:c>
      <x:c r="B11" s="21" t="str">
        <x:v>QE03-P01</x:v>
      </x:c>
      <x:c r="C11" s="21" t="str">
        <x:v>WORK PACKAGE</x:v>
      </x:c>
      <x:c r="D11" s="21" t="n">
        <x:v>7</x:v>
      </x:c>
      <x:c r="E11" s="21" t="str">
        <x:v>hold-up tomography</x:v>
      </x:c>
      <x:c r="F11" s="21" t="str">
        <x:v>OPEN</x:v>
      </x:c>
      <x:c r="G11" s="21" t="str"/>
      <x:c r="H11" s="21" t="str"/>
    </x:row>
    <x:row r="12">
      <x:c r="A12" s="21" t="str">
        <x:v>QE03-P01-RW08</x:v>
      </x:c>
      <x:c r="B12" s="21" t="str">
        <x:v>QE03-P01</x:v>
      </x:c>
      <x:c r="C12" s="21" t="str">
        <x:v>WORK PACKAGE</x:v>
      </x:c>
      <x:c r="D12" s="21" t="n">
        <x:v>8</x:v>
      </x:c>
      <x:c r="E12" s="21" t="str">
        <x:v>receiver recovery</x:v>
      </x:c>
      <x:c r="F12" s="21" t="str">
        <x:v>OPEN</x:v>
      </x:c>
      <x:c r="G12" s="21" t="str"/>
      <x:c r="H12" s="21" t="str"/>
    </x:row>
    <x:row r="13">
      <x:c r="A13" s="21" t="str">
        <x:v>QE03-P01-RW09</x:v>
      </x:c>
      <x:c r="B13" s="21" t="str">
        <x:v>QE03-P01</x:v>
      </x:c>
      <x:c r="C13" s="21" t="str">
        <x:v>WORK PACKAGE</x:v>
      </x:c>
      <x:c r="D13" s="21" t="n">
        <x:v>9</x:v>
      </x:c>
      <x:c r="E13" s="21" t="str">
        <x:v>capture-plane recovery</x:v>
      </x:c>
      <x:c r="F13" s="21" t="str">
        <x:v>OPEN</x:v>
      </x:c>
      <x:c r="G13" s="21" t="str"/>
      <x:c r="H13" s="21" t="str"/>
    </x:row>
    <x:row r="14">
      <x:c r="A14" s="21" t="str">
        <x:v>QE03-P01-RW10</x:v>
      </x:c>
      <x:c r="B14" s="21" t="str">
        <x:v>QE03-P01</x:v>
      </x:c>
      <x:c r="C14" s="21" t="str">
        <x:v>WORK PACKAGE</x:v>
      </x:c>
      <x:c r="D14" s="21" t="n">
        <x:v>10</x:v>
      </x:c>
      <x:c r="E14" s="21" t="str">
        <x:v>casualty-route state</x:v>
      </x:c>
      <x:c r="F14" s="21" t="str">
        <x:v>OPEN</x:v>
      </x:c>
      <x:c r="G14" s="21" t="str"/>
      <x:c r="H14" s="21" t="str"/>
    </x:row>
    <x:row r="15">
      <x:c r="A15" s="21" t="str">
        <x:v>QE03-P01-RW11</x:v>
      </x:c>
      <x:c r="B15" s="21" t="str">
        <x:v>QE03-P01</x:v>
      </x:c>
      <x:c r="C15" s="21" t="str">
        <x:v>WORK PACKAGE</x:v>
      </x:c>
      <x:c r="D15" s="21" t="n">
        <x:v>11</x:v>
      </x:c>
      <x:c r="E15" s="21" t="str">
        <x:v>sample closure</x:v>
      </x:c>
      <x:c r="F15" s="21" t="str">
        <x:v>OPEN</x:v>
      </x:c>
      <x:c r="G15" s="21" t="str"/>
      <x:c r="H15" s="21" t="str"/>
    </x:row>
    <x:row r="16">
      <x:c r="A16" s="21" t="str">
        <x:v>QE03-P01-RW12</x:v>
      </x:c>
      <x:c r="B16" s="21" t="str">
        <x:v>QE03-P01</x:v>
      </x:c>
      <x:c r="C16" s="21" t="str">
        <x:v>WORK PACKAGE</x:v>
      </x:c>
      <x:c r="D16" s="21" t="n">
        <x:v>12</x:v>
      </x:c>
      <x:c r="E16" s="21" t="str">
        <x:v>waste disposition</x:v>
      </x:c>
      <x:c r="F16" s="21" t="str">
        <x:v>OPEN</x:v>
      </x:c>
      <x:c r="G16" s="21" t="str"/>
      <x:c r="H16" s="21" t="str"/>
    </x:row>
    <x:row r="17">
      <x:c r="A17" s="21" t="str">
        <x:v>QE03-P01-RW13</x:v>
      </x:c>
      <x:c r="B17" s="21" t="str">
        <x:v>QE03-P01</x:v>
      </x:c>
      <x:c r="C17" s="21" t="str">
        <x:v>WORK PACKAGE</x:v>
      </x:c>
      <x:c r="D17" s="21" t="n">
        <x:v>13</x:v>
      </x:c>
      <x:c r="E17" s="21" t="str">
        <x:v>decontamination</x:v>
      </x:c>
      <x:c r="F17" s="21" t="str">
        <x:v>OPEN</x:v>
      </x:c>
      <x:c r="G17" s="21" t="str"/>
      <x:c r="H17" s="21" t="str"/>
    </x:row>
    <x:row r="18">
      <x:c r="A18" s="21" t="str">
        <x:v>QE03-P01-RW14</x:v>
      </x:c>
      <x:c r="B18" s="21" t="str">
        <x:v>QE03-P01</x:v>
      </x:c>
      <x:c r="C18" s="21" t="str">
        <x:v>WORK PACKAGE</x:v>
      </x:c>
      <x:c r="D18" s="21" t="n">
        <x:v>14</x:v>
      </x:c>
      <x:c r="E18" s="21" t="str">
        <x:v>seal and liner examination</x:v>
      </x:c>
      <x:c r="F18" s="21" t="str">
        <x:v>OPEN</x:v>
      </x:c>
      <x:c r="G18" s="21" t="str"/>
      <x:c r="H18" s="21" t="str"/>
    </x:row>
    <x:row r="19">
      <x:c r="A19" s="21" t="str">
        <x:v>QE03-P01-RW15</x:v>
      </x:c>
      <x:c r="B19" s="21" t="str">
        <x:v>QE03-P01</x:v>
      </x:c>
      <x:c r="C19" s="21" t="str">
        <x:v>WORK PACKAGE</x:v>
      </x:c>
      <x:c r="D19" s="21" t="n">
        <x:v>15</x:v>
      </x:c>
      <x:c r="E19" s="21" t="str">
        <x:v>pressure-wave sensor check</x:v>
      </x:c>
      <x:c r="F19" s="21" t="str">
        <x:v>OPEN</x:v>
      </x:c>
      <x:c r="G19" s="21" t="str"/>
      <x:c r="H19" s="21" t="str"/>
    </x:row>
    <x:row r="20">
      <x:c r="A20" s="21" t="str">
        <x:v>QE03-P01-RW16</x:v>
      </x:c>
      <x:c r="B20" s="21" t="str">
        <x:v>QE03-P01</x:v>
      </x:c>
      <x:c r="C20" s="21" t="str">
        <x:v>WORK PACKAGE</x:v>
      </x:c>
      <x:c r="D20" s="21" t="n">
        <x:v>16</x:v>
      </x:c>
      <x:c r="E20" s="21" t="str">
        <x:v>final-element inspection</x:v>
      </x:c>
      <x:c r="F20" s="21" t="str">
        <x:v>OPEN</x:v>
      </x:c>
      <x:c r="G20" s="21" t="str"/>
      <x:c r="H20" s="21" t="str"/>
    </x:row>
    <x:row r="21">
      <x:c r="A21" s="21" t="str">
        <x:v>QE03-P01-RW17</x:v>
      </x:c>
      <x:c r="B21" s="21" t="str">
        <x:v>QE03-P01</x:v>
      </x:c>
      <x:c r="C21" s="21" t="str">
        <x:v>WORK PACKAGE</x:v>
      </x:c>
      <x:c r="D21" s="21" t="n">
        <x:v>17</x:v>
      </x:c>
      <x:c r="E21" s="21" t="str">
        <x:v>path regression</x:v>
      </x:c>
      <x:c r="F21" s="21" t="str">
        <x:v>OPEN</x:v>
      </x:c>
      <x:c r="G21" s="21" t="str"/>
      <x:c r="H21" s="21" t="str"/>
    </x:row>
    <x:row r="22">
      <x:c r="A22" s="21" t="str">
        <x:v>QE03-P01-RW18</x:v>
      </x:c>
      <x:c r="B22" s="21" t="str">
        <x:v>QE03-P01</x:v>
      </x:c>
      <x:c r="C22" s="21" t="str">
        <x:v>WORK PACKAGE</x:v>
      </x:c>
      <x:c r="D22" s="21" t="n">
        <x:v>18</x:v>
      </x:c>
      <x:c r="E22" s="21" t="str">
        <x:v>metrology bookends</x:v>
      </x:c>
      <x:c r="F22" s="21" t="str">
        <x:v>OPEN</x:v>
      </x:c>
      <x:c r="G22" s="21" t="str"/>
      <x:c r="H22" s="21" t="str"/>
    </x:row>
    <x:row r="23">
      <x:c r="A23" s="21" t="str">
        <x:v>QE03-P01-RW19</x:v>
      </x:c>
      <x:c r="B23" s="21" t="str">
        <x:v>QE03-P01</x:v>
      </x:c>
      <x:c r="C23" s="21" t="str">
        <x:v>WORK PACKAGE</x:v>
      </x:c>
      <x:c r="D23" s="21" t="n">
        <x:v>19</x:v>
      </x:c>
      <x:c r="E23" s="21" t="str">
        <x:v>evidence replay</x:v>
      </x:c>
      <x:c r="F23" s="21" t="str">
        <x:v>OPEN</x:v>
      </x:c>
      <x:c r="G23" s="21" t="str"/>
      <x:c r="H23" s="21" t="str"/>
    </x:row>
    <x:row r="24">
      <x:c r="A24" s="21" t="str">
        <x:v>QE03-P01-RW20</x:v>
      </x:c>
      <x:c r="B24" s="21" t="str">
        <x:v>QE03-P01</x:v>
      </x:c>
      <x:c r="C24" s="21" t="str">
        <x:v>WORK PACKAGE</x:v>
      </x:c>
      <x:c r="D24" s="21" t="n">
        <x:v>20</x:v>
      </x:c>
      <x:c r="E24" s="21" t="str">
        <x:v>new configuration baseline</x:v>
      </x:c>
      <x:c r="F24" s="21" t="str">
        <x:v>OPEN</x:v>
      </x:c>
      <x:c r="G24" s="21" t="str"/>
      <x:c r="H24" s="21" t="str"/>
    </x:row>
    <x:row r="25">
      <x:c r="A25" s="21" t="str">
        <x:v>QE03-P01-RD01</x:v>
      </x:c>
      <x:c r="B25" s="21" t="str">
        <x:v>QE03-P01</x:v>
      </x:c>
      <x:c r="C25" s="21" t="str">
        <x:v>DECISION</x:v>
      </x:c>
      <x:c r="D25" s="21" t="n">
        <x:v>1</x:v>
      </x:c>
      <x:c r="E25" s="21" t="str">
        <x:v>article</x:v>
      </x:c>
      <x:c r="F25" s="21" t="str">
        <x:v>OPEN</x:v>
      </x:c>
      <x:c r="G25" s="21" t="str"/>
      <x:c r="H25" s="21" t="str"/>
    </x:row>
    <x:row r="26">
      <x:c r="A26" s="21" t="str">
        <x:v>QE03-P01-RD02</x:v>
      </x:c>
      <x:c r="B26" s="21" t="str">
        <x:v>QE03-P01</x:v>
      </x:c>
      <x:c r="C26" s="21" t="str">
        <x:v>DECISION</x:v>
      </x:c>
      <x:c r="D26" s="21" t="n">
        <x:v>2</x:v>
      </x:c>
      <x:c r="E26" s="21" t="str">
        <x:v>route</x:v>
      </x:c>
      <x:c r="F26" s="21" t="str">
        <x:v>OPEN</x:v>
      </x:c>
      <x:c r="G26" s="21" t="str"/>
      <x:c r="H26" s="21" t="str"/>
    </x:row>
    <x:row r="27">
      <x:c r="A27" s="21" t="str">
        <x:v>QE03-P01-RD03</x:v>
      </x:c>
      <x:c r="B27" s="21" t="str">
        <x:v>QE03-P01</x:v>
      </x:c>
      <x:c r="C27" s="21" t="str">
        <x:v>DECISION</x:v>
      </x:c>
      <x:c r="D27" s="21" t="n">
        <x:v>3</x:v>
      </x:c>
      <x:c r="E27" s="21" t="str">
        <x:v>conversion assembly</x:v>
      </x:c>
      <x:c r="F27" s="21" t="str">
        <x:v>OPEN</x:v>
      </x:c>
      <x:c r="G27" s="21" t="str"/>
      <x:c r="H27" s="21" t="str"/>
    </x:row>
    <x:row r="28">
      <x:c r="A28" s="21" t="str">
        <x:v>QE03-P01-RD04</x:v>
      </x:c>
      <x:c r="B28" s="21" t="str">
        <x:v>QE03-P01</x:v>
      </x:c>
      <x:c r="C28" s="21" t="str">
        <x:v>DECISION</x:v>
      </x:c>
      <x:c r="D28" s="21" t="n">
        <x:v>4</x:v>
      </x:c>
      <x:c r="E28" s="21" t="str">
        <x:v>receiver</x:v>
      </x:c>
      <x:c r="F28" s="21" t="str">
        <x:v>OPEN</x:v>
      </x:c>
      <x:c r="G28" s="21" t="str"/>
      <x:c r="H28" s="21" t="str"/>
    </x:row>
    <x:row r="29">
      <x:c r="A29" s="21" t="str">
        <x:v>QE03-P01-RD05</x:v>
      </x:c>
      <x:c r="B29" s="21" t="str">
        <x:v>QE03-P01</x:v>
      </x:c>
      <x:c r="C29" s="21" t="str">
        <x:v>DECISION</x:v>
      </x:c>
      <x:c r="D29" s="21" t="n">
        <x:v>5</x:v>
      </x:c>
      <x:c r="E29" s="21" t="str">
        <x:v>capture plane</x:v>
      </x:c>
      <x:c r="F29" s="21" t="str">
        <x:v>OPEN</x:v>
      </x:c>
      <x:c r="G29" s="21" t="str"/>
      <x:c r="H29" s="21" t="str"/>
    </x:row>
    <x:row r="30">
      <x:c r="A30" s="21" t="str">
        <x:v>QE03-P01-RD06</x:v>
      </x:c>
      <x:c r="B30" s="21" t="str">
        <x:v>QE03-P01</x:v>
      </x:c>
      <x:c r="C30" s="21" t="str">
        <x:v>DECISION</x:v>
      </x:c>
      <x:c r="D30" s="21" t="n">
        <x:v>6</x:v>
      </x:c>
      <x:c r="E30" s="21" t="str">
        <x:v>source custody</x:v>
      </x:c>
      <x:c r="F30" s="21" t="str">
        <x:v>OPEN</x:v>
      </x:c>
      <x:c r="G30" s="21" t="str"/>
      <x:c r="H30" s="21" t="str"/>
    </x:row>
    <x:row r="31">
      <x:c r="A31" s="21" t="str">
        <x:v>QE03-P01-RD07</x:v>
      </x:c>
      <x:c r="B31" s="21" t="str">
        <x:v>QE03-P01</x:v>
      </x:c>
      <x:c r="C31" s="21" t="str">
        <x:v>DECISION</x:v>
      </x:c>
      <x:c r="D31" s="21" t="n">
        <x:v>7</x:v>
      </x:c>
      <x:c r="E31" s="21" t="str">
        <x:v>water custody</x:v>
      </x:c>
      <x:c r="F31" s="21" t="str">
        <x:v>OPEN</x:v>
      </x:c>
      <x:c r="G31" s="21" t="str"/>
      <x:c r="H31" s="21" t="str"/>
    </x:row>
    <x:row r="32">
      <x:c r="A32" s="21" t="str">
        <x:v>QE03-P01-RD08</x:v>
      </x:c>
      <x:c r="B32" s="21" t="str">
        <x:v>QE03-P01</x:v>
      </x:c>
      <x:c r="C32" s="21" t="str">
        <x:v>DECISION</x:v>
      </x:c>
      <x:c r="D32" s="21" t="n">
        <x:v>8</x:v>
      </x:c>
      <x:c r="E32" s="21" t="str">
        <x:v>ancestry</x:v>
      </x:c>
      <x:c r="F32" s="21" t="str">
        <x:v>OPEN</x:v>
      </x:c>
      <x:c r="G32" s="21" t="str"/>
      <x:c r="H32" s="21" t="str"/>
    </x:row>
    <x:row r="33">
      <x:c r="A33" s="21" t="str">
        <x:v>QE03-P01-RD09</x:v>
      </x:c>
      <x:c r="B33" s="21" t="str">
        <x:v>QE03-P01</x:v>
      </x:c>
      <x:c r="C33" s="21" t="str">
        <x:v>DECISION</x:v>
      </x:c>
      <x:c r="D33" s="21" t="n">
        <x:v>9</x:v>
      </x:c>
      <x:c r="E33" s="21" t="str">
        <x:v>environment</x:v>
      </x:c>
      <x:c r="F33" s="21" t="str">
        <x:v>OPEN</x:v>
      </x:c>
      <x:c r="G33" s="21" t="str"/>
      <x:c r="H33" s="21" t="str"/>
    </x:row>
    <x:row r="34">
      <x:c r="A34" s="21" t="str">
        <x:v>QE03-P01-RD10</x:v>
      </x:c>
      <x:c r="B34" s="21" t="str">
        <x:v>QE03-P01</x:v>
      </x:c>
      <x:c r="C34" s="21" t="str">
        <x:v>DECISION</x:v>
      </x:c>
      <x:c r="D34" s="21" t="n">
        <x:v>10</x:v>
      </x:c>
      <x:c r="E34" s="21" t="str">
        <x:v>final elements</x:v>
      </x:c>
      <x:c r="F34" s="21" t="str">
        <x:v>OPEN</x:v>
      </x:c>
      <x:c r="G34" s="21" t="str"/>
      <x:c r="H34" s="21" t="str"/>
    </x:row>
    <x:row r="35">
      <x:c r="A35" s="21" t="str">
        <x:v>QE03-P01-RD11</x:v>
      </x:c>
      <x:c r="B35" s="21" t="str">
        <x:v>QE03-P01</x:v>
      </x:c>
      <x:c r="C35" s="21" t="str">
        <x:v>DECISION</x:v>
      </x:c>
      <x:c r="D35" s="21" t="n">
        <x:v>11</x:v>
      </x:c>
      <x:c r="E35" s="21" t="str">
        <x:v>safeing paths</x:v>
      </x:c>
      <x:c r="F35" s="21" t="str">
        <x:v>OPEN</x:v>
      </x:c>
      <x:c r="G35" s="21" t="str"/>
      <x:c r="H35" s="21" t="str"/>
    </x:row>
    <x:row r="36">
      <x:c r="A36" s="21" t="str">
        <x:v>QE03-P01-RD12</x:v>
      </x:c>
      <x:c r="B36" s="21" t="str">
        <x:v>QE03-P01</x:v>
      </x:c>
      <x:c r="C36" s="21" t="str">
        <x:v>DECISION</x:v>
      </x:c>
      <x:c r="D36" s="21" t="n">
        <x:v>12</x:v>
      </x:c>
      <x:c r="E36" s="21" t="str">
        <x:v>metrology</x:v>
      </x:c>
      <x:c r="F36" s="21" t="str">
        <x:v>OPEN</x:v>
      </x:c>
      <x:c r="G36" s="21" t="str"/>
      <x:c r="H36" s="21" t="str"/>
    </x:row>
    <x:row r="37">
      <x:c r="A37" s="21" t="str">
        <x:v>QE03-P01-RD13</x:v>
      </x:c>
      <x:c r="B37" s="21" t="str">
        <x:v>QE03-P01</x:v>
      </x:c>
      <x:c r="C37" s="21" t="str">
        <x:v>DECISION</x:v>
      </x:c>
      <x:c r="D37" s="21" t="n">
        <x:v>13</x:v>
      </x:c>
      <x:c r="E37" s="21" t="str">
        <x:v>evidence</x:v>
      </x:c>
      <x:c r="F37" s="21" t="str">
        <x:v>OPEN</x:v>
      </x:c>
      <x:c r="G37" s="21" t="str"/>
      <x:c r="H37" s="21" t="str"/>
    </x:row>
    <x:row r="38">
      <x:c r="A38" s="21" t="str">
        <x:v>QE03-P01-RD14</x:v>
      </x:c>
      <x:c r="B38" s="21" t="str">
        <x:v>QE03-P01</x:v>
      </x:c>
      <x:c r="C38" s="21" t="str">
        <x:v>DECISION</x:v>
      </x:c>
      <x:c r="D38" s="21" t="n">
        <x:v>14</x:v>
      </x:c>
      <x:c r="E38" s="21" t="str">
        <x:v>pair availability</x:v>
      </x:c>
      <x:c r="F38" s="21" t="str">
        <x:v>OPEN</x:v>
      </x:c>
      <x:c r="G38" s="21" t="str"/>
      <x:c r="H38" s="21" t="str"/>
    </x:row>
    <x:row r="39">
      <x:c r="A39" s="21" t="str">
        <x:v>QE03-R01-RW01</x:v>
      </x:c>
      <x:c r="B39" s="21" t="str">
        <x:v>QE03-R01</x:v>
      </x:c>
      <x:c r="C39" s="21" t="str">
        <x:v>WORK PACKAGE</x:v>
      </x:c>
      <x:c r="D39" s="21" t="n">
        <x:v>1</x:v>
      </x:c>
      <x:c r="E39" s="21" t="str">
        <x:v>initial quarantine</x:v>
      </x:c>
      <x:c r="F39" s="21" t="str">
        <x:v>OPEN</x:v>
      </x:c>
      <x:c r="G39" s="21" t="str"/>
      <x:c r="H39" s="21" t="str"/>
    </x:row>
    <x:row r="40">
      <x:c r="A40" s="21" t="str">
        <x:v>QE03-R01-RW02</x:v>
      </x:c>
      <x:c r="B40" s="21" t="str">
        <x:v>QE03-R01</x:v>
      </x:c>
      <x:c r="C40" s="21" t="str">
        <x:v>WORK PACKAGE</x:v>
      </x:c>
      <x:c r="D40" s="21" t="n">
        <x:v>2</x:v>
      </x:c>
      <x:c r="E40" s="21" t="str">
        <x:v>remote residue map</x:v>
      </x:c>
      <x:c r="F40" s="21" t="str">
        <x:v>OPEN</x:v>
      </x:c>
      <x:c r="G40" s="21" t="str"/>
      <x:c r="H40" s="21" t="str"/>
    </x:row>
    <x:row r="41">
      <x:c r="A41" s="21" t="str">
        <x:v>QE03-R01-RW03</x:v>
      </x:c>
      <x:c r="B41" s="21" t="str">
        <x:v>QE03-R01</x:v>
      </x:c>
      <x:c r="C41" s="21" t="str">
        <x:v>WORK PACKAGE</x:v>
      </x:c>
      <x:c r="D41" s="21" t="n">
        <x:v>3</x:v>
      </x:c>
      <x:c r="E41" s="21" t="str">
        <x:v>package reconciliation</x:v>
      </x:c>
      <x:c r="F41" s="21" t="str">
        <x:v>OPEN</x:v>
      </x:c>
      <x:c r="G41" s="21" t="str"/>
      <x:c r="H41" s="21" t="str"/>
    </x:row>
    <x:row r="42">
      <x:c r="A42" s="21" t="str">
        <x:v>QE03-R01-RW04</x:v>
      </x:c>
      <x:c r="B42" s="21" t="str">
        <x:v>QE03-R01</x:v>
      </x:c>
      <x:c r="C42" s="21" t="str">
        <x:v>WORK PACKAGE</x:v>
      </x:c>
      <x:c r="D42" s="21" t="n">
        <x:v>4</x:v>
      </x:c>
      <x:c r="E42" s="21" t="str">
        <x:v>source-vessel state</x:v>
      </x:c>
      <x:c r="F42" s="21" t="str">
        <x:v>OPEN</x:v>
      </x:c>
      <x:c r="G42" s="21" t="str"/>
      <x:c r="H42" s="21" t="str"/>
    </x:row>
    <x:row r="43">
      <x:c r="A43" s="21" t="str">
        <x:v>QE03-R01-RW05</x:v>
      </x:c>
      <x:c r="B43" s="21" t="str">
        <x:v>QE03-R01</x:v>
      </x:c>
      <x:c r="C43" s="21" t="str">
        <x:v>WORK PACKAGE</x:v>
      </x:c>
      <x:c r="D43" s="21" t="n">
        <x:v>5</x:v>
      </x:c>
      <x:c r="E43" s="21" t="str">
        <x:v>route isolation</x:v>
      </x:c>
      <x:c r="F43" s="21" t="str">
        <x:v>OPEN</x:v>
      </x:c>
      <x:c r="G43" s="21" t="str"/>
      <x:c r="H43" s="21" t="str"/>
    </x:row>
    <x:row r="44">
      <x:c r="A44" s="21" t="str">
        <x:v>QE03-R01-RW06</x:v>
      </x:c>
      <x:c r="B44" s="21" t="str">
        <x:v>QE03-R01</x:v>
      </x:c>
      <x:c r="C44" s="21" t="str">
        <x:v>WORK PACKAGE</x:v>
      </x:c>
      <x:c r="D44" s="21" t="n">
        <x:v>6</x:v>
      </x:c>
      <x:c r="E44" s="21" t="str">
        <x:v>route drain</x:v>
      </x:c>
      <x:c r="F44" s="21" t="str">
        <x:v>OPEN</x:v>
      </x:c>
      <x:c r="G44" s="21" t="str"/>
      <x:c r="H44" s="21" t="str"/>
    </x:row>
    <x:row r="45">
      <x:c r="A45" s="21" t="str">
        <x:v>QE03-R01-RW07</x:v>
      </x:c>
      <x:c r="B45" s="21" t="str">
        <x:v>QE03-R01</x:v>
      </x:c>
      <x:c r="C45" s="21" t="str">
        <x:v>WORK PACKAGE</x:v>
      </x:c>
      <x:c r="D45" s="21" t="n">
        <x:v>7</x:v>
      </x:c>
      <x:c r="E45" s="21" t="str">
        <x:v>hold-up tomography</x:v>
      </x:c>
      <x:c r="F45" s="21" t="str">
        <x:v>OPEN</x:v>
      </x:c>
      <x:c r="G45" s="21" t="str"/>
      <x:c r="H45" s="21" t="str"/>
    </x:row>
    <x:row r="46">
      <x:c r="A46" s="21" t="str">
        <x:v>QE03-R01-RW08</x:v>
      </x:c>
      <x:c r="B46" s="21" t="str">
        <x:v>QE03-R01</x:v>
      </x:c>
      <x:c r="C46" s="21" t="str">
        <x:v>WORK PACKAGE</x:v>
      </x:c>
      <x:c r="D46" s="21" t="n">
        <x:v>8</x:v>
      </x:c>
      <x:c r="E46" s="21" t="str">
        <x:v>receiver recovery</x:v>
      </x:c>
      <x:c r="F46" s="21" t="str">
        <x:v>OPEN</x:v>
      </x:c>
      <x:c r="G46" s="21" t="str"/>
      <x:c r="H46" s="21" t="str"/>
    </x:row>
    <x:row r="47">
      <x:c r="A47" s="21" t="str">
        <x:v>QE03-R01-RW09</x:v>
      </x:c>
      <x:c r="B47" s="21" t="str">
        <x:v>QE03-R01</x:v>
      </x:c>
      <x:c r="C47" s="21" t="str">
        <x:v>WORK PACKAGE</x:v>
      </x:c>
      <x:c r="D47" s="21" t="n">
        <x:v>9</x:v>
      </x:c>
      <x:c r="E47" s="21" t="str">
        <x:v>capture-plane recovery</x:v>
      </x:c>
      <x:c r="F47" s="21" t="str">
        <x:v>OPEN</x:v>
      </x:c>
      <x:c r="G47" s="21" t="str"/>
      <x:c r="H47" s="21" t="str"/>
    </x:row>
    <x:row r="48">
      <x:c r="A48" s="21" t="str">
        <x:v>QE03-R01-RW10</x:v>
      </x:c>
      <x:c r="B48" s="21" t="str">
        <x:v>QE03-R01</x:v>
      </x:c>
      <x:c r="C48" s="21" t="str">
        <x:v>WORK PACKAGE</x:v>
      </x:c>
      <x:c r="D48" s="21" t="n">
        <x:v>10</x:v>
      </x:c>
      <x:c r="E48" s="21" t="str">
        <x:v>casualty-route state</x:v>
      </x:c>
      <x:c r="F48" s="21" t="str">
        <x:v>OPEN</x:v>
      </x:c>
      <x:c r="G48" s="21" t="str"/>
      <x:c r="H48" s="21" t="str"/>
    </x:row>
    <x:row r="49">
      <x:c r="A49" s="21" t="str">
        <x:v>QE03-R01-RW11</x:v>
      </x:c>
      <x:c r="B49" s="21" t="str">
        <x:v>QE03-R01</x:v>
      </x:c>
      <x:c r="C49" s="21" t="str">
        <x:v>WORK PACKAGE</x:v>
      </x:c>
      <x:c r="D49" s="21" t="n">
        <x:v>11</x:v>
      </x:c>
      <x:c r="E49" s="21" t="str">
        <x:v>sample closure</x:v>
      </x:c>
      <x:c r="F49" s="21" t="str">
        <x:v>OPEN</x:v>
      </x:c>
      <x:c r="G49" s="21" t="str"/>
      <x:c r="H49" s="21" t="str"/>
    </x:row>
    <x:row r="50">
      <x:c r="A50" s="21" t="str">
        <x:v>QE03-R01-RW12</x:v>
      </x:c>
      <x:c r="B50" s="21" t="str">
        <x:v>QE03-R01</x:v>
      </x:c>
      <x:c r="C50" s="21" t="str">
        <x:v>WORK PACKAGE</x:v>
      </x:c>
      <x:c r="D50" s="21" t="n">
        <x:v>12</x:v>
      </x:c>
      <x:c r="E50" s="21" t="str">
        <x:v>waste disposition</x:v>
      </x:c>
      <x:c r="F50" s="21" t="str">
        <x:v>OPEN</x:v>
      </x:c>
      <x:c r="G50" s="21" t="str"/>
      <x:c r="H50" s="21" t="str"/>
    </x:row>
    <x:row r="51">
      <x:c r="A51" s="21" t="str">
        <x:v>QE03-R01-RW13</x:v>
      </x:c>
      <x:c r="B51" s="21" t="str">
        <x:v>QE03-R01</x:v>
      </x:c>
      <x:c r="C51" s="21" t="str">
        <x:v>WORK PACKAGE</x:v>
      </x:c>
      <x:c r="D51" s="21" t="n">
        <x:v>13</x:v>
      </x:c>
      <x:c r="E51" s="21" t="str">
        <x:v>decontamination</x:v>
      </x:c>
      <x:c r="F51" s="21" t="str">
        <x:v>OPEN</x:v>
      </x:c>
      <x:c r="G51" s="21" t="str"/>
      <x:c r="H51" s="21" t="str"/>
    </x:row>
    <x:row r="52">
      <x:c r="A52" s="21" t="str">
        <x:v>QE03-R01-RW14</x:v>
      </x:c>
      <x:c r="B52" s="21" t="str">
        <x:v>QE03-R01</x:v>
      </x:c>
      <x:c r="C52" s="21" t="str">
        <x:v>WORK PACKAGE</x:v>
      </x:c>
      <x:c r="D52" s="21" t="n">
        <x:v>14</x:v>
      </x:c>
      <x:c r="E52" s="21" t="str">
        <x:v>seal and liner examination</x:v>
      </x:c>
      <x:c r="F52" s="21" t="str">
        <x:v>OPEN</x:v>
      </x:c>
      <x:c r="G52" s="21" t="str"/>
      <x:c r="H52" s="21" t="str"/>
    </x:row>
    <x:row r="53">
      <x:c r="A53" s="21" t="str">
        <x:v>QE03-R01-RW15</x:v>
      </x:c>
      <x:c r="B53" s="21" t="str">
        <x:v>QE03-R01</x:v>
      </x:c>
      <x:c r="C53" s="21" t="str">
        <x:v>WORK PACKAGE</x:v>
      </x:c>
      <x:c r="D53" s="21" t="n">
        <x:v>15</x:v>
      </x:c>
      <x:c r="E53" s="21" t="str">
        <x:v>pressure-wave sensor check</x:v>
      </x:c>
      <x:c r="F53" s="21" t="str">
        <x:v>OPEN</x:v>
      </x:c>
      <x:c r="G53" s="21" t="str"/>
      <x:c r="H53" s="21" t="str"/>
    </x:row>
    <x:row r="54">
      <x:c r="A54" s="21" t="str">
        <x:v>QE03-R01-RW16</x:v>
      </x:c>
      <x:c r="B54" s="21" t="str">
        <x:v>QE03-R01</x:v>
      </x:c>
      <x:c r="C54" s="21" t="str">
        <x:v>WORK PACKAGE</x:v>
      </x:c>
      <x:c r="D54" s="21" t="n">
        <x:v>16</x:v>
      </x:c>
      <x:c r="E54" s="21" t="str">
        <x:v>final-element inspection</x:v>
      </x:c>
      <x:c r="F54" s="21" t="str">
        <x:v>OPEN</x:v>
      </x:c>
      <x:c r="G54" s="21" t="str"/>
      <x:c r="H54" s="21" t="str"/>
    </x:row>
    <x:row r="55">
      <x:c r="A55" s="21" t="str">
        <x:v>QE03-R01-RW17</x:v>
      </x:c>
      <x:c r="B55" s="21" t="str">
        <x:v>QE03-R01</x:v>
      </x:c>
      <x:c r="C55" s="21" t="str">
        <x:v>WORK PACKAGE</x:v>
      </x:c>
      <x:c r="D55" s="21" t="n">
        <x:v>17</x:v>
      </x:c>
      <x:c r="E55" s="21" t="str">
        <x:v>path regression</x:v>
      </x:c>
      <x:c r="F55" s="21" t="str">
        <x:v>OPEN</x:v>
      </x:c>
      <x:c r="G55" s="21" t="str"/>
      <x:c r="H55" s="21" t="str"/>
    </x:row>
    <x:row r="56">
      <x:c r="A56" s="21" t="str">
        <x:v>QE03-R01-RW18</x:v>
      </x:c>
      <x:c r="B56" s="21" t="str">
        <x:v>QE03-R01</x:v>
      </x:c>
      <x:c r="C56" s="21" t="str">
        <x:v>WORK PACKAGE</x:v>
      </x:c>
      <x:c r="D56" s="21" t="n">
        <x:v>18</x:v>
      </x:c>
      <x:c r="E56" s="21" t="str">
        <x:v>metrology bookends</x:v>
      </x:c>
      <x:c r="F56" s="21" t="str">
        <x:v>OPEN</x:v>
      </x:c>
      <x:c r="G56" s="21" t="str"/>
      <x:c r="H56" s="21" t="str"/>
    </x:row>
    <x:row r="57">
      <x:c r="A57" s="21" t="str">
        <x:v>QE03-R01-RW19</x:v>
      </x:c>
      <x:c r="B57" s="21" t="str">
        <x:v>QE03-R01</x:v>
      </x:c>
      <x:c r="C57" s="21" t="str">
        <x:v>WORK PACKAGE</x:v>
      </x:c>
      <x:c r="D57" s="21" t="n">
        <x:v>19</x:v>
      </x:c>
      <x:c r="E57" s="21" t="str">
        <x:v>evidence replay</x:v>
      </x:c>
      <x:c r="F57" s="21" t="str">
        <x:v>OPEN</x:v>
      </x:c>
      <x:c r="G57" s="21" t="str"/>
      <x:c r="H57" s="21" t="str"/>
    </x:row>
    <x:row r="58">
      <x:c r="A58" s="21" t="str">
        <x:v>QE03-R01-RW20</x:v>
      </x:c>
      <x:c r="B58" s="21" t="str">
        <x:v>QE03-R01</x:v>
      </x:c>
      <x:c r="C58" s="21" t="str">
        <x:v>WORK PACKAGE</x:v>
      </x:c>
      <x:c r="D58" s="21" t="n">
        <x:v>20</x:v>
      </x:c>
      <x:c r="E58" s="21" t="str">
        <x:v>new configuration baseline</x:v>
      </x:c>
      <x:c r="F58" s="21" t="str">
        <x:v>OPEN</x:v>
      </x:c>
      <x:c r="G58" s="21" t="str"/>
      <x:c r="H58" s="21" t="str"/>
    </x:row>
    <x:row r="59">
      <x:c r="A59" s="21" t="str">
        <x:v>QE03-R01-RD01</x:v>
      </x:c>
      <x:c r="B59" s="21" t="str">
        <x:v>QE03-R01</x:v>
      </x:c>
      <x:c r="C59" s="21" t="str">
        <x:v>DECISION</x:v>
      </x:c>
      <x:c r="D59" s="21" t="n">
        <x:v>1</x:v>
      </x:c>
      <x:c r="E59" s="21" t="str">
        <x:v>article</x:v>
      </x:c>
      <x:c r="F59" s="21" t="str">
        <x:v>OPEN</x:v>
      </x:c>
      <x:c r="G59" s="21" t="str"/>
      <x:c r="H59" s="21" t="str"/>
    </x:row>
    <x:row r="60">
      <x:c r="A60" s="21" t="str">
        <x:v>QE03-R01-RD02</x:v>
      </x:c>
      <x:c r="B60" s="21" t="str">
        <x:v>QE03-R01</x:v>
      </x:c>
      <x:c r="C60" s="21" t="str">
        <x:v>DECISION</x:v>
      </x:c>
      <x:c r="D60" s="21" t="n">
        <x:v>2</x:v>
      </x:c>
      <x:c r="E60" s="21" t="str">
        <x:v>route</x:v>
      </x:c>
      <x:c r="F60" s="21" t="str">
        <x:v>OPEN</x:v>
      </x:c>
      <x:c r="G60" s="21" t="str"/>
      <x:c r="H60" s="21" t="str"/>
    </x:row>
    <x:row r="61">
      <x:c r="A61" s="21" t="str">
        <x:v>QE03-R01-RD03</x:v>
      </x:c>
      <x:c r="B61" s="21" t="str">
        <x:v>QE03-R01</x:v>
      </x:c>
      <x:c r="C61" s="21" t="str">
        <x:v>DECISION</x:v>
      </x:c>
      <x:c r="D61" s="21" t="n">
        <x:v>3</x:v>
      </x:c>
      <x:c r="E61" s="21" t="str">
        <x:v>conversion assembly</x:v>
      </x:c>
      <x:c r="F61" s="21" t="str">
        <x:v>OPEN</x:v>
      </x:c>
      <x:c r="G61" s="21" t="str"/>
      <x:c r="H61" s="21" t="str"/>
    </x:row>
    <x:row r="62">
      <x:c r="A62" s="21" t="str">
        <x:v>QE03-R01-RD04</x:v>
      </x:c>
      <x:c r="B62" s="21" t="str">
        <x:v>QE03-R01</x:v>
      </x:c>
      <x:c r="C62" s="21" t="str">
        <x:v>DECISION</x:v>
      </x:c>
      <x:c r="D62" s="21" t="n">
        <x:v>4</x:v>
      </x:c>
      <x:c r="E62" s="21" t="str">
        <x:v>receiver</x:v>
      </x:c>
      <x:c r="F62" s="21" t="str">
        <x:v>OPEN</x:v>
      </x:c>
      <x:c r="G62" s="21" t="str"/>
      <x:c r="H62" s="21" t="str"/>
    </x:row>
    <x:row r="63">
      <x:c r="A63" s="21" t="str">
        <x:v>QE03-R01-RD05</x:v>
      </x:c>
      <x:c r="B63" s="21" t="str">
        <x:v>QE03-R01</x:v>
      </x:c>
      <x:c r="C63" s="21" t="str">
        <x:v>DECISION</x:v>
      </x:c>
      <x:c r="D63" s="21" t="n">
        <x:v>5</x:v>
      </x:c>
      <x:c r="E63" s="21" t="str">
        <x:v>capture plane</x:v>
      </x:c>
      <x:c r="F63" s="21" t="str">
        <x:v>OPEN</x:v>
      </x:c>
      <x:c r="G63" s="21" t="str"/>
      <x:c r="H63" s="21" t="str"/>
    </x:row>
    <x:row r="64">
      <x:c r="A64" s="21" t="str">
        <x:v>QE03-R01-RD06</x:v>
      </x:c>
      <x:c r="B64" s="21" t="str">
        <x:v>QE03-R01</x:v>
      </x:c>
      <x:c r="C64" s="21" t="str">
        <x:v>DECISION</x:v>
      </x:c>
      <x:c r="D64" s="21" t="n">
        <x:v>6</x:v>
      </x:c>
      <x:c r="E64" s="21" t="str">
        <x:v>source custody</x:v>
      </x:c>
      <x:c r="F64" s="21" t="str">
        <x:v>OPEN</x:v>
      </x:c>
      <x:c r="G64" s="21" t="str"/>
      <x:c r="H64" s="21" t="str"/>
    </x:row>
    <x:row r="65">
      <x:c r="A65" s="21" t="str">
        <x:v>QE03-R01-RD07</x:v>
      </x:c>
      <x:c r="B65" s="21" t="str">
        <x:v>QE03-R01</x:v>
      </x:c>
      <x:c r="C65" s="21" t="str">
        <x:v>DECISION</x:v>
      </x:c>
      <x:c r="D65" s="21" t="n">
        <x:v>7</x:v>
      </x:c>
      <x:c r="E65" s="21" t="str">
        <x:v>water custody</x:v>
      </x:c>
      <x:c r="F65" s="21" t="str">
        <x:v>OPEN</x:v>
      </x:c>
      <x:c r="G65" s="21" t="str"/>
      <x:c r="H65" s="21" t="str"/>
    </x:row>
    <x:row r="66">
      <x:c r="A66" s="21" t="str">
        <x:v>QE03-R01-RD08</x:v>
      </x:c>
      <x:c r="B66" s="21" t="str">
        <x:v>QE03-R01</x:v>
      </x:c>
      <x:c r="C66" s="21" t="str">
        <x:v>DECISION</x:v>
      </x:c>
      <x:c r="D66" s="21" t="n">
        <x:v>8</x:v>
      </x:c>
      <x:c r="E66" s="21" t="str">
        <x:v>ancestry</x:v>
      </x:c>
      <x:c r="F66" s="21" t="str">
        <x:v>OPEN</x:v>
      </x:c>
      <x:c r="G66" s="21" t="str"/>
      <x:c r="H66" s="21" t="str"/>
    </x:row>
    <x:row r="67">
      <x:c r="A67" s="21" t="str">
        <x:v>QE03-R01-RD09</x:v>
      </x:c>
      <x:c r="B67" s="21" t="str">
        <x:v>QE03-R01</x:v>
      </x:c>
      <x:c r="C67" s="21" t="str">
        <x:v>DECISION</x:v>
      </x:c>
      <x:c r="D67" s="21" t="n">
        <x:v>9</x:v>
      </x:c>
      <x:c r="E67" s="21" t="str">
        <x:v>environment</x:v>
      </x:c>
      <x:c r="F67" s="21" t="str">
        <x:v>OPEN</x:v>
      </x:c>
      <x:c r="G67" s="21" t="str"/>
      <x:c r="H67" s="21" t="str"/>
    </x:row>
    <x:row r="68">
      <x:c r="A68" s="21" t="str">
        <x:v>QE03-R01-RD10</x:v>
      </x:c>
      <x:c r="B68" s="21" t="str">
        <x:v>QE03-R01</x:v>
      </x:c>
      <x:c r="C68" s="21" t="str">
        <x:v>DECISION</x:v>
      </x:c>
      <x:c r="D68" s="21" t="n">
        <x:v>10</x:v>
      </x:c>
      <x:c r="E68" s="21" t="str">
        <x:v>final elements</x:v>
      </x:c>
      <x:c r="F68" s="21" t="str">
        <x:v>OPEN</x:v>
      </x:c>
      <x:c r="G68" s="21" t="str"/>
      <x:c r="H68" s="21" t="str"/>
    </x:row>
    <x:row r="69">
      <x:c r="A69" s="21" t="str">
        <x:v>QE03-R01-RD11</x:v>
      </x:c>
      <x:c r="B69" s="21" t="str">
        <x:v>QE03-R01</x:v>
      </x:c>
      <x:c r="C69" s="21" t="str">
        <x:v>DECISION</x:v>
      </x:c>
      <x:c r="D69" s="21" t="n">
        <x:v>11</x:v>
      </x:c>
      <x:c r="E69" s="21" t="str">
        <x:v>safeing paths</x:v>
      </x:c>
      <x:c r="F69" s="21" t="str">
        <x:v>OPEN</x:v>
      </x:c>
      <x:c r="G69" s="21" t="str"/>
      <x:c r="H69" s="21" t="str"/>
    </x:row>
    <x:row r="70">
      <x:c r="A70" s="21" t="str">
        <x:v>QE03-R01-RD12</x:v>
      </x:c>
      <x:c r="B70" s="21" t="str">
        <x:v>QE03-R01</x:v>
      </x:c>
      <x:c r="C70" s="21" t="str">
        <x:v>DECISION</x:v>
      </x:c>
      <x:c r="D70" s="21" t="n">
        <x:v>12</x:v>
      </x:c>
      <x:c r="E70" s="21" t="str">
        <x:v>metrology</x:v>
      </x:c>
      <x:c r="F70" s="21" t="str">
        <x:v>OPEN</x:v>
      </x:c>
      <x:c r="G70" s="21" t="str"/>
      <x:c r="H70" s="21" t="str"/>
    </x:row>
    <x:row r="71">
      <x:c r="A71" s="21" t="str">
        <x:v>QE03-R01-RD13</x:v>
      </x:c>
      <x:c r="B71" s="21" t="str">
        <x:v>QE03-R01</x:v>
      </x:c>
      <x:c r="C71" s="21" t="str">
        <x:v>DECISION</x:v>
      </x:c>
      <x:c r="D71" s="21" t="n">
        <x:v>13</x:v>
      </x:c>
      <x:c r="E71" s="21" t="str">
        <x:v>evidence</x:v>
      </x:c>
      <x:c r="F71" s="21" t="str">
        <x:v>OPEN</x:v>
      </x:c>
      <x:c r="G71" s="21" t="str"/>
      <x:c r="H71" s="21" t="str"/>
    </x:row>
    <x:row r="72">
      <x:c r="A72" s="21" t="str">
        <x:v>QE03-R01-RD14</x:v>
      </x:c>
      <x:c r="B72" s="21" t="str">
        <x:v>QE03-R01</x:v>
      </x:c>
      <x:c r="C72" s="21" t="str">
        <x:v>DECISION</x:v>
      </x:c>
      <x:c r="D72" s="21" t="n">
        <x:v>14</x:v>
      </x:c>
      <x:c r="E72" s="21" t="str">
        <x:v>pair availability</x:v>
      </x:c>
      <x:c r="F72" s="21" t="str">
        <x:v>OPEN</x:v>
      </x:c>
      <x:c r="G72" s="21" t="str"/>
      <x:c r="H72" s="21" t="str"/>
    </x:row>
  </x:sheetData>
  <x:conditionalFormatting sqref="F5:F72">
    <x:cfRule type="containsText" dxfId="108" priority="1" operator="containsText" text="PASS"/>
    <x:cfRule type="containsText" dxfId="109" priority="2" operator="containsText" text="ACCEPTED"/>
    <x:cfRule type="containsText" dxfId="110" priority="3" operator="containsText" text="OPEN"/>
    <x:cfRule type="containsText" dxfId="111" priority="4" operator="containsText" text="BLOCKED"/>
    <x:cfRule type="containsText" dxfId="112" priority="5" operator="containsText" text="FAIL"/>
    <x:cfRule type="containsText" dxfId="113" priority="6" operator="containsText" text="STOP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9" hidden="0" customWidth="1"/>
    <x:col min="4" max="4" width="31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28" customHeight="1">
      <x:c r="A1" s="17" t="str">
        <x:v>Forty-eight outside-origin replay decisions</x:v>
      </x:c>
      <x:c r="B1" s="17"/>
      <x:c r="C1" s="17"/>
      <x:c r="D1" s="17"/>
      <x:c r="E1" s="17"/>
      <x:c r="F1" s="17"/>
      <x:c r="G1" s="17"/>
    </x:row>
    <x:row r="2" ht="34" customHeight="1">
      <x:c r="A2" s="18" t="str">
        <x:v>Each non-origin campus executes the method and issues an independent disposition.</x:v>
      </x:c>
      <x:c r="B2" s="18"/>
      <x:c r="C2" s="18"/>
      <x:c r="D2" s="18"/>
      <x:c r="E2" s="18"/>
      <x:c r="F2" s="18"/>
      <x:c r="G2" s="18"/>
    </x:row>
    <x:row r="3">
      <x:c r="A3" s="19"/>
      <x:c r="B3" s="19"/>
      <x:c r="C3" s="19"/>
      <x:c r="D3" s="19"/>
      <x:c r="E3" s="19"/>
      <x:c r="F3" s="19"/>
      <x:c r="G3" s="19"/>
    </x:row>
    <x:row r="4">
      <x:c r="A4" s="20" t="str">
        <x:v>Replay</x:v>
      </x:c>
      <x:c r="B4" s="20" t="str">
        <x:v>Token</x:v>
      </x:c>
      <x:c r="C4" s="20" t="str">
        <x:v>Receiver</x:v>
      </x:c>
      <x:c r="D4" s="20" t="str">
        <x:v>Packet class</x:v>
      </x:c>
      <x:c r="E4" s="20" t="str">
        <x:v>State</x:v>
      </x:c>
      <x:c r="F4" s="20" t="str">
        <x:v>Result root</x:v>
      </x:c>
      <x:c r="G4" s="20" t="str">
        <x:v>Accepted UTC</x:v>
      </x:c>
    </x:row>
    <x:row r="5">
      <x:c r="A5" s="21" t="str">
        <x:v>QE03-P01-NON-ORIGIN-1-RP01</x:v>
      </x:c>
      <x:c r="B5" s="21" t="str">
        <x:v>QE03-P01</x:v>
      </x:c>
      <x:c r="C5" s="21" t="str">
        <x:v>NON-ORIGIN-1</x:v>
      </x:c>
      <x:c r="D5" s="21" t="str">
        <x:v>configuration</x:v>
      </x:c>
      <x:c r="E5" s="21" t="str">
        <x:v>OPEN</x:v>
      </x:c>
      <x:c r="F5" s="21" t="str"/>
      <x:c r="G5" s="21" t="str"/>
    </x:row>
    <x:row r="6">
      <x:c r="A6" s="21" t="str">
        <x:v>QE03-P01-NON-ORIGIN-1-RP02</x:v>
      </x:c>
      <x:c r="B6" s="21" t="str">
        <x:v>QE03-P01</x:v>
      </x:c>
      <x:c r="C6" s="21" t="str">
        <x:v>NON-ORIGIN-1</x:v>
      </x:c>
      <x:c r="D6" s="21" t="str">
        <x:v>source package</x:v>
      </x:c>
      <x:c r="E6" s="21" t="str">
        <x:v>OPEN</x:v>
      </x:c>
      <x:c r="F6" s="21" t="str"/>
      <x:c r="G6" s="21" t="str"/>
    </x:row>
    <x:row r="7">
      <x:c r="A7" s="21" t="str">
        <x:v>QE03-P01-NON-ORIGIN-1-RP03</x:v>
      </x:c>
      <x:c r="B7" s="21" t="str">
        <x:v>QE03-P01</x:v>
      </x:c>
      <x:c r="C7" s="21" t="str">
        <x:v>NON-ORIGIN-1</x:v>
      </x:c>
      <x:c r="D7" s="21" t="str">
        <x:v>rate-extension packet</x:v>
      </x:c>
      <x:c r="E7" s="21" t="str">
        <x:v>OPEN</x:v>
      </x:c>
      <x:c r="F7" s="21" t="str"/>
      <x:c r="G7" s="21" t="str"/>
    </x:row>
    <x:row r="8">
      <x:c r="A8" s="21" t="str">
        <x:v>QE03-P01-NON-ORIGIN-1-RP04</x:v>
      </x:c>
      <x:c r="B8" s="21" t="str">
        <x:v>QE03-P01</x:v>
      </x:c>
      <x:c r="C8" s="21" t="str">
        <x:v>NON-ORIGIN-1</x:v>
      </x:c>
      <x:c r="D8" s="21" t="str">
        <x:v>conversion assembly</x:v>
      </x:c>
      <x:c r="E8" s="21" t="str">
        <x:v>OPEN</x:v>
      </x:c>
      <x:c r="F8" s="21" t="str"/>
      <x:c r="G8" s="21" t="str"/>
    </x:row>
    <x:row r="9">
      <x:c r="A9" s="21" t="str">
        <x:v>QE03-P01-NON-ORIGIN-1-RP05</x:v>
      </x:c>
      <x:c r="B9" s="21" t="str">
        <x:v>QE03-P01</x:v>
      </x:c>
      <x:c r="C9" s="21" t="str">
        <x:v>NON-ORIGIN-1</x:v>
      </x:c>
      <x:c r="D9" s="21" t="str">
        <x:v>source accounts</x:v>
      </x:c>
      <x:c r="E9" s="21" t="str">
        <x:v>OPEN</x:v>
      </x:c>
      <x:c r="F9" s="21" t="str"/>
      <x:c r="G9" s="21" t="str"/>
    </x:row>
    <x:row r="10">
      <x:c r="A10" s="21" t="str">
        <x:v>QE03-P01-NON-ORIGIN-1-RP06</x:v>
      </x:c>
      <x:c r="B10" s="21" t="str">
        <x:v>QE03-P01</x:v>
      </x:c>
      <x:c r="C10" s="21" t="str">
        <x:v>NON-ORIGIN-1</x:v>
      </x:c>
      <x:c r="D10" s="21" t="str">
        <x:v>water account</x:v>
      </x:c>
      <x:c r="E10" s="21" t="str">
        <x:v>OPEN</x:v>
      </x:c>
      <x:c r="F10" s="21" t="str"/>
      <x:c r="G10" s="21" t="str"/>
    </x:row>
    <x:row r="11">
      <x:c r="A11" s="21" t="str">
        <x:v>QE03-P01-NON-ORIGIN-1-RP07</x:v>
      </x:c>
      <x:c r="B11" s="21" t="str">
        <x:v>QE03-P01</x:v>
      </x:c>
      <x:c r="C11" s="21" t="str">
        <x:v>NON-ORIGIN-1</x:v>
      </x:c>
      <x:c r="D11" s="21" t="str">
        <x:v>pressure transient</x:v>
      </x:c>
      <x:c r="E11" s="21" t="str">
        <x:v>OPEN</x:v>
      </x:c>
      <x:c r="F11" s="21" t="str"/>
      <x:c r="G11" s="21" t="str"/>
    </x:row>
    <x:row r="12">
      <x:c r="A12" s="21" t="str">
        <x:v>QE03-P01-NON-ORIGIN-1-RP08</x:v>
      </x:c>
      <x:c r="B12" s="21" t="str">
        <x:v>QE03-P01</x:v>
      </x:c>
      <x:c r="C12" s="21" t="str">
        <x:v>NON-ORIGIN-1</x:v>
      </x:c>
      <x:c r="D12" s="21" t="str">
        <x:v>safeing states</x:v>
      </x:c>
      <x:c r="E12" s="21" t="str">
        <x:v>OPEN</x:v>
      </x:c>
      <x:c r="F12" s="21" t="str"/>
      <x:c r="G12" s="21" t="str"/>
    </x:row>
    <x:row r="13">
      <x:c r="A13" s="21" t="str">
        <x:v>QE03-P01-NON-ORIGIN-1-RP09</x:v>
      </x:c>
      <x:c r="B13" s="21" t="str">
        <x:v>QE03-P01</x:v>
      </x:c>
      <x:c r="C13" s="21" t="str">
        <x:v>NON-ORIGIN-1</x:v>
      </x:c>
      <x:c r="D13" s="21" t="str">
        <x:v>causal time</x:v>
      </x:c>
      <x:c r="E13" s="21" t="str">
        <x:v>OPEN</x:v>
      </x:c>
      <x:c r="F13" s="21" t="str"/>
      <x:c r="G13" s="21" t="str"/>
    </x:row>
    <x:row r="14">
      <x:c r="A14" s="21" t="str">
        <x:v>QE03-P01-NON-ORIGIN-1-RP10</x:v>
      </x:c>
      <x:c r="B14" s="21" t="str">
        <x:v>QE03-P01</x:v>
      </x:c>
      <x:c r="C14" s="21" t="str">
        <x:v>NON-ORIGIN-1</x:v>
      </x:c>
      <x:c r="D14" s="21" t="str">
        <x:v>environment</x:v>
      </x:c>
      <x:c r="E14" s="21" t="str">
        <x:v>OPEN</x:v>
      </x:c>
      <x:c r="F14" s="21" t="str"/>
      <x:c r="G14" s="21" t="str"/>
    </x:row>
    <x:row r="15">
      <x:c r="A15" s="21" t="str">
        <x:v>QE03-P01-NON-ORIGIN-1-RP11</x:v>
      </x:c>
      <x:c r="B15" s="21" t="str">
        <x:v>QE03-P01</x:v>
      </x:c>
      <x:c r="C15" s="21" t="str">
        <x:v>NON-ORIGIN-1</x:v>
      </x:c>
      <x:c r="D15" s="21" t="str">
        <x:v>measurements and uncertainty</x:v>
      </x:c>
      <x:c r="E15" s="21" t="str">
        <x:v>OPEN</x:v>
      </x:c>
      <x:c r="F15" s="21" t="str"/>
      <x:c r="G15" s="21" t="str"/>
    </x:row>
    <x:row r="16">
      <x:c r="A16" s="21" t="str">
        <x:v>QE03-P01-NON-ORIGIN-1-RP12</x:v>
      </x:c>
      <x:c r="B16" s="21" t="str">
        <x:v>QE03-P01</x:v>
      </x:c>
      <x:c r="C16" s="21" t="str">
        <x:v>NON-ORIGIN-1</x:v>
      </x:c>
      <x:c r="D16" s="21" t="str">
        <x:v>result and return</x:v>
      </x:c>
      <x:c r="E16" s="21" t="str">
        <x:v>OPEN</x:v>
      </x:c>
      <x:c r="F16" s="21" t="str"/>
      <x:c r="G16" s="21" t="str"/>
    </x:row>
    <x:row r="17">
      <x:c r="A17" s="21" t="str">
        <x:v>QE03-P01-NON-ORIGIN-2-RP01</x:v>
      </x:c>
      <x:c r="B17" s="21" t="str">
        <x:v>QE03-P01</x:v>
      </x:c>
      <x:c r="C17" s="21" t="str">
        <x:v>NON-ORIGIN-2</x:v>
      </x:c>
      <x:c r="D17" s="21" t="str">
        <x:v>configuration</x:v>
      </x:c>
      <x:c r="E17" s="21" t="str">
        <x:v>OPEN</x:v>
      </x:c>
      <x:c r="F17" s="21" t="str"/>
      <x:c r="G17" s="21" t="str"/>
    </x:row>
    <x:row r="18">
      <x:c r="A18" s="21" t="str">
        <x:v>QE03-P01-NON-ORIGIN-2-RP02</x:v>
      </x:c>
      <x:c r="B18" s="21" t="str">
        <x:v>QE03-P01</x:v>
      </x:c>
      <x:c r="C18" s="21" t="str">
        <x:v>NON-ORIGIN-2</x:v>
      </x:c>
      <x:c r="D18" s="21" t="str">
        <x:v>source package</x:v>
      </x:c>
      <x:c r="E18" s="21" t="str">
        <x:v>OPEN</x:v>
      </x:c>
      <x:c r="F18" s="21" t="str"/>
      <x:c r="G18" s="21" t="str"/>
    </x:row>
    <x:row r="19">
      <x:c r="A19" s="21" t="str">
        <x:v>QE03-P01-NON-ORIGIN-2-RP03</x:v>
      </x:c>
      <x:c r="B19" s="21" t="str">
        <x:v>QE03-P01</x:v>
      </x:c>
      <x:c r="C19" s="21" t="str">
        <x:v>NON-ORIGIN-2</x:v>
      </x:c>
      <x:c r="D19" s="21" t="str">
        <x:v>rate-extension packet</x:v>
      </x:c>
      <x:c r="E19" s="21" t="str">
        <x:v>OPEN</x:v>
      </x:c>
      <x:c r="F19" s="21" t="str"/>
      <x:c r="G19" s="21" t="str"/>
    </x:row>
    <x:row r="20">
      <x:c r="A20" s="21" t="str">
        <x:v>QE03-P01-NON-ORIGIN-2-RP04</x:v>
      </x:c>
      <x:c r="B20" s="21" t="str">
        <x:v>QE03-P01</x:v>
      </x:c>
      <x:c r="C20" s="21" t="str">
        <x:v>NON-ORIGIN-2</x:v>
      </x:c>
      <x:c r="D20" s="21" t="str">
        <x:v>conversion assembly</x:v>
      </x:c>
      <x:c r="E20" s="21" t="str">
        <x:v>OPEN</x:v>
      </x:c>
      <x:c r="F20" s="21" t="str"/>
      <x:c r="G20" s="21" t="str"/>
    </x:row>
    <x:row r="21">
      <x:c r="A21" s="21" t="str">
        <x:v>QE03-P01-NON-ORIGIN-2-RP05</x:v>
      </x:c>
      <x:c r="B21" s="21" t="str">
        <x:v>QE03-P01</x:v>
      </x:c>
      <x:c r="C21" s="21" t="str">
        <x:v>NON-ORIGIN-2</x:v>
      </x:c>
      <x:c r="D21" s="21" t="str">
        <x:v>source accounts</x:v>
      </x:c>
      <x:c r="E21" s="21" t="str">
        <x:v>OPEN</x:v>
      </x:c>
      <x:c r="F21" s="21" t="str"/>
      <x:c r="G21" s="21" t="str"/>
    </x:row>
    <x:row r="22">
      <x:c r="A22" s="21" t="str">
        <x:v>QE03-P01-NON-ORIGIN-2-RP06</x:v>
      </x:c>
      <x:c r="B22" s="21" t="str">
        <x:v>QE03-P01</x:v>
      </x:c>
      <x:c r="C22" s="21" t="str">
        <x:v>NON-ORIGIN-2</x:v>
      </x:c>
      <x:c r="D22" s="21" t="str">
        <x:v>water account</x:v>
      </x:c>
      <x:c r="E22" s="21" t="str">
        <x:v>OPEN</x:v>
      </x:c>
      <x:c r="F22" s="21" t="str"/>
      <x:c r="G22" s="21" t="str"/>
    </x:row>
    <x:row r="23">
      <x:c r="A23" s="21" t="str">
        <x:v>QE03-P01-NON-ORIGIN-2-RP07</x:v>
      </x:c>
      <x:c r="B23" s="21" t="str">
        <x:v>QE03-P01</x:v>
      </x:c>
      <x:c r="C23" s="21" t="str">
        <x:v>NON-ORIGIN-2</x:v>
      </x:c>
      <x:c r="D23" s="21" t="str">
        <x:v>pressure transient</x:v>
      </x:c>
      <x:c r="E23" s="21" t="str">
        <x:v>OPEN</x:v>
      </x:c>
      <x:c r="F23" s="21" t="str"/>
      <x:c r="G23" s="21" t="str"/>
    </x:row>
    <x:row r="24">
      <x:c r="A24" s="21" t="str">
        <x:v>QE03-P01-NON-ORIGIN-2-RP08</x:v>
      </x:c>
      <x:c r="B24" s="21" t="str">
        <x:v>QE03-P01</x:v>
      </x:c>
      <x:c r="C24" s="21" t="str">
        <x:v>NON-ORIGIN-2</x:v>
      </x:c>
      <x:c r="D24" s="21" t="str">
        <x:v>safeing states</x:v>
      </x:c>
      <x:c r="E24" s="21" t="str">
        <x:v>OPEN</x:v>
      </x:c>
      <x:c r="F24" s="21" t="str"/>
      <x:c r="G24" s="21" t="str"/>
    </x:row>
    <x:row r="25">
      <x:c r="A25" s="21" t="str">
        <x:v>QE03-P01-NON-ORIGIN-2-RP09</x:v>
      </x:c>
      <x:c r="B25" s="21" t="str">
        <x:v>QE03-P01</x:v>
      </x:c>
      <x:c r="C25" s="21" t="str">
        <x:v>NON-ORIGIN-2</x:v>
      </x:c>
      <x:c r="D25" s="21" t="str">
        <x:v>causal time</x:v>
      </x:c>
      <x:c r="E25" s="21" t="str">
        <x:v>OPEN</x:v>
      </x:c>
      <x:c r="F25" s="21" t="str"/>
      <x:c r="G25" s="21" t="str"/>
    </x:row>
    <x:row r="26">
      <x:c r="A26" s="21" t="str">
        <x:v>QE03-P01-NON-ORIGIN-2-RP10</x:v>
      </x:c>
      <x:c r="B26" s="21" t="str">
        <x:v>QE03-P01</x:v>
      </x:c>
      <x:c r="C26" s="21" t="str">
        <x:v>NON-ORIGIN-2</x:v>
      </x:c>
      <x:c r="D26" s="21" t="str">
        <x:v>environment</x:v>
      </x:c>
      <x:c r="E26" s="21" t="str">
        <x:v>OPEN</x:v>
      </x:c>
      <x:c r="F26" s="21" t="str"/>
      <x:c r="G26" s="21" t="str"/>
    </x:row>
    <x:row r="27">
      <x:c r="A27" s="21" t="str">
        <x:v>QE03-P01-NON-ORIGIN-2-RP11</x:v>
      </x:c>
      <x:c r="B27" s="21" t="str">
        <x:v>QE03-P01</x:v>
      </x:c>
      <x:c r="C27" s="21" t="str">
        <x:v>NON-ORIGIN-2</x:v>
      </x:c>
      <x:c r="D27" s="21" t="str">
        <x:v>measurements and uncertainty</x:v>
      </x:c>
      <x:c r="E27" s="21" t="str">
        <x:v>OPEN</x:v>
      </x:c>
      <x:c r="F27" s="21" t="str"/>
      <x:c r="G27" s="21" t="str"/>
    </x:row>
    <x:row r="28">
      <x:c r="A28" s="21" t="str">
        <x:v>QE03-P01-NON-ORIGIN-2-RP12</x:v>
      </x:c>
      <x:c r="B28" s="21" t="str">
        <x:v>QE03-P01</x:v>
      </x:c>
      <x:c r="C28" s="21" t="str">
        <x:v>NON-ORIGIN-2</x:v>
      </x:c>
      <x:c r="D28" s="21" t="str">
        <x:v>result and return</x:v>
      </x:c>
      <x:c r="E28" s="21" t="str">
        <x:v>OPEN</x:v>
      </x:c>
      <x:c r="F28" s="21" t="str"/>
      <x:c r="G28" s="21" t="str"/>
    </x:row>
    <x:row r="29">
      <x:c r="A29" s="21" t="str">
        <x:v>QE03-R01-NON-ORIGIN-1-RP01</x:v>
      </x:c>
      <x:c r="B29" s="21" t="str">
        <x:v>QE03-R01</x:v>
      </x:c>
      <x:c r="C29" s="21" t="str">
        <x:v>NON-ORIGIN-1</x:v>
      </x:c>
      <x:c r="D29" s="21" t="str">
        <x:v>configuration</x:v>
      </x:c>
      <x:c r="E29" s="21" t="str">
        <x:v>OPEN</x:v>
      </x:c>
      <x:c r="F29" s="21" t="str"/>
      <x:c r="G29" s="21" t="str"/>
    </x:row>
    <x:row r="30">
      <x:c r="A30" s="21" t="str">
        <x:v>QE03-R01-NON-ORIGIN-1-RP02</x:v>
      </x:c>
      <x:c r="B30" s="21" t="str">
        <x:v>QE03-R01</x:v>
      </x:c>
      <x:c r="C30" s="21" t="str">
        <x:v>NON-ORIGIN-1</x:v>
      </x:c>
      <x:c r="D30" s="21" t="str">
        <x:v>source package</x:v>
      </x:c>
      <x:c r="E30" s="21" t="str">
        <x:v>OPEN</x:v>
      </x:c>
      <x:c r="F30" s="21" t="str"/>
      <x:c r="G30" s="21" t="str"/>
    </x:row>
    <x:row r="31">
      <x:c r="A31" s="21" t="str">
        <x:v>QE03-R01-NON-ORIGIN-1-RP03</x:v>
      </x:c>
      <x:c r="B31" s="21" t="str">
        <x:v>QE03-R01</x:v>
      </x:c>
      <x:c r="C31" s="21" t="str">
        <x:v>NON-ORIGIN-1</x:v>
      </x:c>
      <x:c r="D31" s="21" t="str">
        <x:v>rate-extension packet</x:v>
      </x:c>
      <x:c r="E31" s="21" t="str">
        <x:v>OPEN</x:v>
      </x:c>
      <x:c r="F31" s="21" t="str"/>
      <x:c r="G31" s="21" t="str"/>
    </x:row>
    <x:row r="32">
      <x:c r="A32" s="21" t="str">
        <x:v>QE03-R01-NON-ORIGIN-1-RP04</x:v>
      </x:c>
      <x:c r="B32" s="21" t="str">
        <x:v>QE03-R01</x:v>
      </x:c>
      <x:c r="C32" s="21" t="str">
        <x:v>NON-ORIGIN-1</x:v>
      </x:c>
      <x:c r="D32" s="21" t="str">
        <x:v>conversion assembly</x:v>
      </x:c>
      <x:c r="E32" s="21" t="str">
        <x:v>OPEN</x:v>
      </x:c>
      <x:c r="F32" s="21" t="str"/>
      <x:c r="G32" s="21" t="str"/>
    </x:row>
    <x:row r="33">
      <x:c r="A33" s="21" t="str">
        <x:v>QE03-R01-NON-ORIGIN-1-RP05</x:v>
      </x:c>
      <x:c r="B33" s="21" t="str">
        <x:v>QE03-R01</x:v>
      </x:c>
      <x:c r="C33" s="21" t="str">
        <x:v>NON-ORIGIN-1</x:v>
      </x:c>
      <x:c r="D33" s="21" t="str">
        <x:v>source accounts</x:v>
      </x:c>
      <x:c r="E33" s="21" t="str">
        <x:v>OPEN</x:v>
      </x:c>
      <x:c r="F33" s="21" t="str"/>
      <x:c r="G33" s="21" t="str"/>
    </x:row>
    <x:row r="34">
      <x:c r="A34" s="21" t="str">
        <x:v>QE03-R01-NON-ORIGIN-1-RP06</x:v>
      </x:c>
      <x:c r="B34" s="21" t="str">
        <x:v>QE03-R01</x:v>
      </x:c>
      <x:c r="C34" s="21" t="str">
        <x:v>NON-ORIGIN-1</x:v>
      </x:c>
      <x:c r="D34" s="21" t="str">
        <x:v>water account</x:v>
      </x:c>
      <x:c r="E34" s="21" t="str">
        <x:v>OPEN</x:v>
      </x:c>
      <x:c r="F34" s="21" t="str"/>
      <x:c r="G34" s="21" t="str"/>
    </x:row>
    <x:row r="35">
      <x:c r="A35" s="21" t="str">
        <x:v>QE03-R01-NON-ORIGIN-1-RP07</x:v>
      </x:c>
      <x:c r="B35" s="21" t="str">
        <x:v>QE03-R01</x:v>
      </x:c>
      <x:c r="C35" s="21" t="str">
        <x:v>NON-ORIGIN-1</x:v>
      </x:c>
      <x:c r="D35" s="21" t="str">
        <x:v>pressure transient</x:v>
      </x:c>
      <x:c r="E35" s="21" t="str">
        <x:v>OPEN</x:v>
      </x:c>
      <x:c r="F35" s="21" t="str"/>
      <x:c r="G35" s="21" t="str"/>
    </x:row>
    <x:row r="36">
      <x:c r="A36" s="21" t="str">
        <x:v>QE03-R01-NON-ORIGIN-1-RP08</x:v>
      </x:c>
      <x:c r="B36" s="21" t="str">
        <x:v>QE03-R01</x:v>
      </x:c>
      <x:c r="C36" s="21" t="str">
        <x:v>NON-ORIGIN-1</x:v>
      </x:c>
      <x:c r="D36" s="21" t="str">
        <x:v>safeing states</x:v>
      </x:c>
      <x:c r="E36" s="21" t="str">
        <x:v>OPEN</x:v>
      </x:c>
      <x:c r="F36" s="21" t="str"/>
      <x:c r="G36" s="21" t="str"/>
    </x:row>
    <x:row r="37">
      <x:c r="A37" s="21" t="str">
        <x:v>QE03-R01-NON-ORIGIN-1-RP09</x:v>
      </x:c>
      <x:c r="B37" s="21" t="str">
        <x:v>QE03-R01</x:v>
      </x:c>
      <x:c r="C37" s="21" t="str">
        <x:v>NON-ORIGIN-1</x:v>
      </x:c>
      <x:c r="D37" s="21" t="str">
        <x:v>causal time</x:v>
      </x:c>
      <x:c r="E37" s="21" t="str">
        <x:v>OPEN</x:v>
      </x:c>
      <x:c r="F37" s="21" t="str"/>
      <x:c r="G37" s="21" t="str"/>
    </x:row>
    <x:row r="38">
      <x:c r="A38" s="21" t="str">
        <x:v>QE03-R01-NON-ORIGIN-1-RP10</x:v>
      </x:c>
      <x:c r="B38" s="21" t="str">
        <x:v>QE03-R01</x:v>
      </x:c>
      <x:c r="C38" s="21" t="str">
        <x:v>NON-ORIGIN-1</x:v>
      </x:c>
      <x:c r="D38" s="21" t="str">
        <x:v>environment</x:v>
      </x:c>
      <x:c r="E38" s="21" t="str">
        <x:v>OPEN</x:v>
      </x:c>
      <x:c r="F38" s="21" t="str"/>
      <x:c r="G38" s="21" t="str"/>
    </x:row>
    <x:row r="39">
      <x:c r="A39" s="21" t="str">
        <x:v>QE03-R01-NON-ORIGIN-1-RP11</x:v>
      </x:c>
      <x:c r="B39" s="21" t="str">
        <x:v>QE03-R01</x:v>
      </x:c>
      <x:c r="C39" s="21" t="str">
        <x:v>NON-ORIGIN-1</x:v>
      </x:c>
      <x:c r="D39" s="21" t="str">
        <x:v>measurements and uncertainty</x:v>
      </x:c>
      <x:c r="E39" s="21" t="str">
        <x:v>OPEN</x:v>
      </x:c>
      <x:c r="F39" s="21" t="str"/>
      <x:c r="G39" s="21" t="str"/>
    </x:row>
    <x:row r="40">
      <x:c r="A40" s="21" t="str">
        <x:v>QE03-R01-NON-ORIGIN-1-RP12</x:v>
      </x:c>
      <x:c r="B40" s="21" t="str">
        <x:v>QE03-R01</x:v>
      </x:c>
      <x:c r="C40" s="21" t="str">
        <x:v>NON-ORIGIN-1</x:v>
      </x:c>
      <x:c r="D40" s="21" t="str">
        <x:v>result and return</x:v>
      </x:c>
      <x:c r="E40" s="21" t="str">
        <x:v>OPEN</x:v>
      </x:c>
      <x:c r="F40" s="21" t="str"/>
      <x:c r="G40" s="21" t="str"/>
    </x:row>
    <x:row r="41">
      <x:c r="A41" s="21" t="str">
        <x:v>QE03-R01-NON-ORIGIN-2-RP01</x:v>
      </x:c>
      <x:c r="B41" s="21" t="str">
        <x:v>QE03-R01</x:v>
      </x:c>
      <x:c r="C41" s="21" t="str">
        <x:v>NON-ORIGIN-2</x:v>
      </x:c>
      <x:c r="D41" s="21" t="str">
        <x:v>configuration</x:v>
      </x:c>
      <x:c r="E41" s="21" t="str">
        <x:v>OPEN</x:v>
      </x:c>
      <x:c r="F41" s="21" t="str"/>
      <x:c r="G41" s="21" t="str"/>
    </x:row>
    <x:row r="42">
      <x:c r="A42" s="21" t="str">
        <x:v>QE03-R01-NON-ORIGIN-2-RP02</x:v>
      </x:c>
      <x:c r="B42" s="21" t="str">
        <x:v>QE03-R01</x:v>
      </x:c>
      <x:c r="C42" s="21" t="str">
        <x:v>NON-ORIGIN-2</x:v>
      </x:c>
      <x:c r="D42" s="21" t="str">
        <x:v>source package</x:v>
      </x:c>
      <x:c r="E42" s="21" t="str">
        <x:v>OPEN</x:v>
      </x:c>
      <x:c r="F42" s="21" t="str"/>
      <x:c r="G42" s="21" t="str"/>
    </x:row>
    <x:row r="43">
      <x:c r="A43" s="21" t="str">
        <x:v>QE03-R01-NON-ORIGIN-2-RP03</x:v>
      </x:c>
      <x:c r="B43" s="21" t="str">
        <x:v>QE03-R01</x:v>
      </x:c>
      <x:c r="C43" s="21" t="str">
        <x:v>NON-ORIGIN-2</x:v>
      </x:c>
      <x:c r="D43" s="21" t="str">
        <x:v>rate-extension packet</x:v>
      </x:c>
      <x:c r="E43" s="21" t="str">
        <x:v>OPEN</x:v>
      </x:c>
      <x:c r="F43" s="21" t="str"/>
      <x:c r="G43" s="21" t="str"/>
    </x:row>
    <x:row r="44">
      <x:c r="A44" s="21" t="str">
        <x:v>QE03-R01-NON-ORIGIN-2-RP04</x:v>
      </x:c>
      <x:c r="B44" s="21" t="str">
        <x:v>QE03-R01</x:v>
      </x:c>
      <x:c r="C44" s="21" t="str">
        <x:v>NON-ORIGIN-2</x:v>
      </x:c>
      <x:c r="D44" s="21" t="str">
        <x:v>conversion assembly</x:v>
      </x:c>
      <x:c r="E44" s="21" t="str">
        <x:v>OPEN</x:v>
      </x:c>
      <x:c r="F44" s="21" t="str"/>
      <x:c r="G44" s="21" t="str"/>
    </x:row>
    <x:row r="45">
      <x:c r="A45" s="21" t="str">
        <x:v>QE03-R01-NON-ORIGIN-2-RP05</x:v>
      </x:c>
      <x:c r="B45" s="21" t="str">
        <x:v>QE03-R01</x:v>
      </x:c>
      <x:c r="C45" s="21" t="str">
        <x:v>NON-ORIGIN-2</x:v>
      </x:c>
      <x:c r="D45" s="21" t="str">
        <x:v>source accounts</x:v>
      </x:c>
      <x:c r="E45" s="21" t="str">
        <x:v>OPEN</x:v>
      </x:c>
      <x:c r="F45" s="21" t="str"/>
      <x:c r="G45" s="21" t="str"/>
    </x:row>
    <x:row r="46">
      <x:c r="A46" s="21" t="str">
        <x:v>QE03-R01-NON-ORIGIN-2-RP06</x:v>
      </x:c>
      <x:c r="B46" s="21" t="str">
        <x:v>QE03-R01</x:v>
      </x:c>
      <x:c r="C46" s="21" t="str">
        <x:v>NON-ORIGIN-2</x:v>
      </x:c>
      <x:c r="D46" s="21" t="str">
        <x:v>water account</x:v>
      </x:c>
      <x:c r="E46" s="21" t="str">
        <x:v>OPEN</x:v>
      </x:c>
      <x:c r="F46" s="21" t="str"/>
      <x:c r="G46" s="21" t="str"/>
    </x:row>
    <x:row r="47">
      <x:c r="A47" s="21" t="str">
        <x:v>QE03-R01-NON-ORIGIN-2-RP07</x:v>
      </x:c>
      <x:c r="B47" s="21" t="str">
        <x:v>QE03-R01</x:v>
      </x:c>
      <x:c r="C47" s="21" t="str">
        <x:v>NON-ORIGIN-2</x:v>
      </x:c>
      <x:c r="D47" s="21" t="str">
        <x:v>pressure transient</x:v>
      </x:c>
      <x:c r="E47" s="21" t="str">
        <x:v>OPEN</x:v>
      </x:c>
      <x:c r="F47" s="21" t="str"/>
      <x:c r="G47" s="21" t="str"/>
    </x:row>
    <x:row r="48">
      <x:c r="A48" s="21" t="str">
        <x:v>QE03-R01-NON-ORIGIN-2-RP08</x:v>
      </x:c>
      <x:c r="B48" s="21" t="str">
        <x:v>QE03-R01</x:v>
      </x:c>
      <x:c r="C48" s="21" t="str">
        <x:v>NON-ORIGIN-2</x:v>
      </x:c>
      <x:c r="D48" s="21" t="str">
        <x:v>safeing states</x:v>
      </x:c>
      <x:c r="E48" s="21" t="str">
        <x:v>OPEN</x:v>
      </x:c>
      <x:c r="F48" s="21" t="str"/>
      <x:c r="G48" s="21" t="str"/>
    </x:row>
    <x:row r="49">
      <x:c r="A49" s="21" t="str">
        <x:v>QE03-R01-NON-ORIGIN-2-RP09</x:v>
      </x:c>
      <x:c r="B49" s="21" t="str">
        <x:v>QE03-R01</x:v>
      </x:c>
      <x:c r="C49" s="21" t="str">
        <x:v>NON-ORIGIN-2</x:v>
      </x:c>
      <x:c r="D49" s="21" t="str">
        <x:v>causal time</x:v>
      </x:c>
      <x:c r="E49" s="21" t="str">
        <x:v>OPEN</x:v>
      </x:c>
      <x:c r="F49" s="21" t="str"/>
      <x:c r="G49" s="21" t="str"/>
    </x:row>
    <x:row r="50">
      <x:c r="A50" s="21" t="str">
        <x:v>QE03-R01-NON-ORIGIN-2-RP10</x:v>
      </x:c>
      <x:c r="B50" s="21" t="str">
        <x:v>QE03-R01</x:v>
      </x:c>
      <x:c r="C50" s="21" t="str">
        <x:v>NON-ORIGIN-2</x:v>
      </x:c>
      <x:c r="D50" s="21" t="str">
        <x:v>environment</x:v>
      </x:c>
      <x:c r="E50" s="21" t="str">
        <x:v>OPEN</x:v>
      </x:c>
      <x:c r="F50" s="21" t="str"/>
      <x:c r="G50" s="21" t="str"/>
    </x:row>
    <x:row r="51">
      <x:c r="A51" s="21" t="str">
        <x:v>QE03-R01-NON-ORIGIN-2-RP11</x:v>
      </x:c>
      <x:c r="B51" s="21" t="str">
        <x:v>QE03-R01</x:v>
      </x:c>
      <x:c r="C51" s="21" t="str">
        <x:v>NON-ORIGIN-2</x:v>
      </x:c>
      <x:c r="D51" s="21" t="str">
        <x:v>measurements and uncertainty</x:v>
      </x:c>
      <x:c r="E51" s="21" t="str">
        <x:v>OPEN</x:v>
      </x:c>
      <x:c r="F51" s="21" t="str"/>
      <x:c r="G51" s="21" t="str"/>
    </x:row>
    <x:row r="52">
      <x:c r="A52" s="21" t="str">
        <x:v>QE03-R01-NON-ORIGIN-2-RP12</x:v>
      </x:c>
      <x:c r="B52" s="21" t="str">
        <x:v>QE03-R01</x:v>
      </x:c>
      <x:c r="C52" s="21" t="str">
        <x:v>NON-ORIGIN-2</x:v>
      </x:c>
      <x:c r="D52" s="21" t="str">
        <x:v>result and return</x:v>
      </x:c>
      <x:c r="E52" s="21" t="str">
        <x:v>OPEN</x:v>
      </x:c>
      <x:c r="F52" s="21" t="str"/>
      <x:c r="G52" s="21" t="str"/>
    </x:row>
  </x:sheetData>
  <x:conditionalFormatting sqref="E5:E52">
    <x:cfRule type="containsText" dxfId="114" priority="1" operator="containsText" text="PASS"/>
    <x:cfRule type="containsText" dxfId="115" priority="2" operator="containsText" text="ACCEPTED"/>
    <x:cfRule type="containsText" dxfId="116" priority="3" operator="containsText" text="OPEN"/>
    <x:cfRule type="containsText" dxfId="117" priority="4" operator="containsText" text="BLOCKED"/>
    <x:cfRule type="containsText" dxfId="118" priority="5" operator="containsText" text="FAIL"/>
    <x:cfRule type="containsText" dxfId="119" priority="6" operator="containsText" text="STOP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25" hidden="0" customWidth="1"/>
    <x:col min="4" max="4" width="23" hidden="0" customWidth="1"/>
    <x:col min="5" max="5" width="25" hidden="0" customWidth="1"/>
    <x:col min="6" max="6" width="14" hidden="0" customWidth="1"/>
  </x:cols>
  <x:sheetData>
    <x:row r="1" ht="28" customHeight="1">
      <x:c r="A1" s="17" t="str">
        <x:v>First-event evidence capacity</x:v>
      </x:c>
      <x:c r="B1" s="17"/>
      <x:c r="C1" s="17"/>
      <x:c r="D1" s="17"/>
      <x:c r="E1" s="17"/>
      <x:c r="F1" s="17"/>
    </x:row>
    <x:row r="2" ht="34" customHeight="1">
      <x:c r="A2" s="18" t="str">
        <x:v>Fifteen minutes full rate, twelve hours at one percent, two originals and custody and capacity factors.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>
      <x:c r="A4" s="20" t="str">
        <x:v>Scope</x:v>
      </x:c>
      <x:c r="B4" s="20" t="str">
        <x:v>Attempts</x:v>
      </x:c>
      <x:c r="C4" s="20" t="str">
        <x:v>Native per attempt GB</x:v>
      </x:c>
      <x:c r="D4" s="20" t="str">
        <x:v>Native total GB</x:v>
      </x:c>
      <x:c r="E4" s="20" t="str">
        <x:v>Allocated total GB</x:v>
      </x:c>
      <x:c r="F4" s="20" t="str">
        <x:v>Unit</x:v>
      </x:c>
    </x:row>
    <x:row r="5">
      <x:c r="A5" s="21" t="str">
        <x:v>Primary attempt</x:v>
      </x:c>
      <x:c r="B5" s="21" t="n">
        <x:v>1</x:v>
      </x:c>
      <x:c r="C5" s="22" t="n">
        <x:f>((Controls!B43*Controls!B44)+(Controls!B43*Controls!B45*Controls!B46))*Controls!B47*Controls!B48/1000</x:f>
        <x:v>192.06157017600003</x:v>
      </x:c>
      <x:c r="D5" s="22" t="n">
        <x:f>B5*C5</x:f>
        <x:v>192.06157017600003</x:v>
      </x:c>
      <x:c r="E5" s="22" t="n">
        <x:f>D5*Controls!B49</x:f>
        <x:v>249.68004122880006</x:v>
      </x:c>
      <x:c r="F5" s="21" t="str">
        <x:v>GB</x:v>
      </x:c>
    </x:row>
    <x:row r="6">
      <x:c r="A6" s="21" t="str">
        <x:v>Replacement capacity</x:v>
      </x:c>
      <x:c r="B6" s="21" t="n">
        <x:v>1</x:v>
      </x:c>
      <x:c r="C6" s="22" t="n">
        <x:f>((Controls!B43*Controls!B44)+(Controls!B43*Controls!B45*Controls!B46))*Controls!B47*Controls!B48/1000</x:f>
        <x:v>192.06157017600003</x:v>
      </x:c>
      <x:c r="D6" s="22" t="n">
        <x:f>B6*C6</x:f>
        <x:v>192.06157017600003</x:v>
      </x:c>
      <x:c r="E6" s="22" t="n">
        <x:f>D6*Controls!B49</x:f>
        <x:v>249.68004122880006</x:v>
      </x:c>
      <x:c r="F6" s="21" t="str">
        <x:v>GB</x:v>
      </x:c>
    </x:row>
    <x:row r="7">
      <x:c r="A7" s="21" t="str">
        <x:v>Maximum first-event capacity</x:v>
      </x:c>
      <x:c r="B7" s="21" t="n">
        <x:v>2</x:v>
      </x:c>
      <x:c r="C7" s="22" t="n">
        <x:f>((Controls!B43*Controls!B44)+(Controls!B43*Controls!B45*Controls!B46))*Controls!B47*Controls!B48/1000</x:f>
        <x:v>192.06157017600003</x:v>
      </x:c>
      <x:c r="D7" s="22" t="n">
        <x:f>B7*C7</x:f>
        <x:v>384.12314035200006</x:v>
      </x:c>
      <x:c r="E7" s="22" t="n">
        <x:f>D7*Controls!B49</x:f>
        <x:v>499.36008245760013</x:v>
      </x:c>
      <x:c r="F7" s="21" t="str">
        <x:v>GB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7" hidden="0" customWidth="1"/>
    <x:col min="4" max="4" width="72" hidden="0" customWidth="1"/>
  </x:cols>
  <x:sheetData>
    <x:row r="1" ht="28" customHeight="1">
      <x:c r="A1" s="17" t="str">
        <x:v>Five RBC-1 decisions</x:v>
      </x:c>
      <x:c r="B1" s="17"/>
      <x:c r="C1" s="17"/>
      <x:c r="D1" s="17"/>
    </x:row>
    <x:row r="2" ht="34" customHeight="1">
      <x:c r="A2" s="18" t="str">
        <x:v>No decision directly issues a second event.</x:v>
      </x:c>
      <x:c r="B2" s="18"/>
      <x:c r="C2" s="18"/>
      <x:c r="D2" s="18"/>
    </x:row>
    <x:row r="3">
      <x:c r="A3" s="19"/>
      <x:c r="B3" s="19"/>
      <x:c r="C3" s="19"/>
      <x:c r="D3" s="19"/>
    </x:row>
    <x:row r="4">
      <x:c r="A4" s="20" t="str">
        <x:v>Decision</x:v>
      </x:c>
      <x:c r="B4" s="20" t="str">
        <x:v>Object</x:v>
      </x:c>
      <x:c r="C4" s="20" t="str">
        <x:v>State</x:v>
      </x:c>
      <x:c r="D4" s="20" t="str">
        <x:v>Conjunctive rule</x:v>
      </x:c>
    </x:row>
    <x:row r="5">
      <x:c r="A5" s="21" t="str">
        <x:v>DC-01</x:v>
      </x:c>
      <x:c r="B5" s="21" t="str">
        <x:v>rate-extension campaign</x:v>
      </x:c>
      <x:c r="C5" s="21" t="str">
        <x:v>OPEN</x:v>
      </x:c>
      <x:c r="D5" s="21" t="str">
        <x:v>24 accepted SF-800 trials</x:v>
      </x:c>
    </x:row>
    <x:row r="6">
      <x:c r="A6" s="21" t="str">
        <x:v>DC-02</x:v>
      </x:c>
      <x:c r="B6" s="21" t="str">
        <x:v>selected attempt disposition</x:v>
      </x:c>
      <x:c r="C6" s="21" t="str">
        <x:v>BLOCKED</x:v>
      </x:c>
      <x:c r="D6" s="21" t="str">
        <x:v>42 event gates and complete packet</x:v>
      </x:c>
    </x:row>
    <x:row r="7">
      <x:c r="A7" s="21" t="str">
        <x:v>DC-03</x:v>
      </x:c>
      <x:c r="B7" s="21" t="str">
        <x:v>exact QE-03 cell credit</x:v>
      </x:c>
      <x:c r="C7" s="21" t="str">
        <x:v>BLOCKED</x:v>
      </x:c>
      <x:c r="D7" s="21" t="str">
        <x:v>valid success, fixed budgets and return</x:v>
      </x:c>
    </x:row>
    <x:row r="8">
      <x:c r="A8" s="21" t="str">
        <x:v>DC-04</x:v>
      </x:c>
      <x:c r="B8" s="21" t="str">
        <x:v>source-exposed pair disposition</x:v>
      </x:c>
      <x:c r="C8" s="21" t="str">
        <x:v>BLOCKED</x:v>
      </x:c>
      <x:c r="D8" s="21" t="str">
        <x:v>20 work packages, 14 decisions and 504 hours</x:v>
      </x:c>
    </x:row>
    <x:row r="9">
      <x:c r="A9" s="21" t="str">
        <x:v>DC-05</x:v>
      </x:c>
      <x:c r="B9" s="21" t="str">
        <x:v>RBD-1 constitution permission</x:v>
      </x:c>
      <x:c r="C9" s="21" t="str">
        <x:v>BLOCKED</x:v>
      </x:c>
      <x:c r="D9" s="21" t="str">
        <x:v>one exact credited cell and immutable event packet</x:v>
      </x:c>
    </x:row>
  </x:sheetData>
  <x:conditionalFormatting sqref="C5:C9">
    <x:cfRule type="containsText" dxfId="120" priority="1" operator="containsText" text="PASS"/>
    <x:cfRule type="containsText" dxfId="121" priority="2" operator="containsText" text="ACCEPTED"/>
    <x:cfRule type="containsText" dxfId="122" priority="3" operator="containsText" text="OPEN"/>
    <x:cfRule type="containsText" dxfId="123" priority="4" operator="containsText" text="BLOCKED"/>
    <x:cfRule type="containsText" dxfId="124" priority="5" operator="containsText" text="FAIL"/>
    <x:cfRule type="containsText" dxfId="125" priority="6" operator="containsText" text="STOP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7" hidden="0" customWidth="1"/>
    <x:col min="3" max="3" width="78" hidden="0" customWidth="1"/>
  </x:cols>
  <x:sheetData>
    <x:row r="1" ht="28" customHeight="1">
      <x:c r="A1" s="17" t="str">
        <x:v>Downstream authority</x:v>
      </x:c>
      <x:c r="B1" s="17"/>
      <x:c r="C1" s="17"/>
    </x:row>
    <x:row r="2" ht="34" customHeight="1">
      <x:c r="A2" s="18" t="str">
        <x:v>RBC-1 can open only the next planning constitution.</x:v>
      </x:c>
      <x:c r="B2" s="18"/>
      <x:c r="C2" s="18"/>
    </x:row>
    <x:row r="3">
      <x:c r="A3" s="19"/>
      <x:c r="B3" s="19"/>
      <x:c r="C3" s="19"/>
    </x:row>
    <x:row r="4">
      <x:c r="A4" s="20" t="str">
        <x:v>Object</x:v>
      </x:c>
      <x:c r="B4" s="20" t="str">
        <x:v>State</x:v>
      </x:c>
      <x:c r="C4" s="20" t="str">
        <x:v>Required basis</x:v>
      </x:c>
    </x:row>
    <x:row r="5">
      <x:c r="A5" s="21" t="str">
        <x:v>RBD-1 complete QE-03 AM-05 class</x:v>
      </x:c>
      <x:c r="B5" s="21" t="str">
        <x:v>BLOCKED</x:v>
      </x:c>
      <x:c r="C5" s="21" t="str">
        <x:v>one credited RBC-1 event and accepted packet</x:v>
      </x:c>
    </x:row>
    <x:row r="6">
      <x:c r="A6" s="21" t="str">
        <x:v>second QE-03 event</x:v>
      </x:c>
      <x:c r="B6" s="21" t="str">
        <x:v>BLOCKED</x:v>
      </x:c>
      <x:c r="C6" s="21" t="str">
        <x:v>new class constitution and issue</x:v>
      </x:c>
    </x:row>
    <x:row r="7">
      <x:c r="A7" s="21" t="str">
        <x:v>QE-03 AM-06 constitution</x:v>
      </x:c>
      <x:c r="B7" s="21" t="str">
        <x:v>BLOCKED</x:v>
      </x:c>
      <x:c r="C7" s="21" t="str">
        <x:v>RBB-1 flame-state transfer or separate repair plus new constitution</x:v>
      </x:c>
    </x:row>
    <x:row r="8">
      <x:c r="A8" s="21" t="str">
        <x:v>QE-04 500 kg entry</x:v>
      </x:c>
      <x:c r="B8" s="21" t="str">
        <x:v>BLOCKED</x:v>
      </x:c>
      <x:c r="C8" s="21" t="str">
        <x:v>complete QE-03 class and separate consequence case</x:v>
      </x:c>
    </x:row>
    <x:row r="9">
      <x:c r="A9" s="21" t="str">
        <x:v>150 mm route</x:v>
      </x:c>
      <x:c r="B9" s="21" t="str">
        <x:v>BLOCKED</x:v>
      </x:c>
      <x:c r="C9" s="21" t="str">
        <x:v>separate similarity and inventory evidence</x:v>
      </x:c>
    </x:row>
    <x:row r="10">
      <x:c r="A10" s="21" t="str">
        <x:v>candidate admission</x:v>
      </x:c>
      <x:c r="B10" s="21" t="str">
        <x:v>BLOCKED</x:v>
      </x:c>
      <x:c r="C10" s="21" t="str">
        <x:v>candidate safety constitution</x:v>
      </x:c>
    </x:row>
    <x:row r="11">
      <x:c r="A11" s="21" t="str">
        <x:v>candidate performance</x:v>
      </x:c>
      <x:c r="B11" s="21" t="str">
        <x:v>BLOCKED</x:v>
      </x:c>
      <x:c r="C11" s="21" t="str">
        <x:v>candidate absent</x:v>
      </x:c>
    </x:row>
    <x:row r="12">
      <x:c r="A12" s="21" t="str">
        <x:v>production release</x:v>
      </x:c>
      <x:c r="B12" s="21" t="str">
        <x:v>BLOCKED</x:v>
      </x:c>
      <x:c r="C12" s="21" t="str">
        <x:v>operational article and service evidence</x:v>
      </x:c>
    </x:row>
    <x:row r="13">
      <x:c r="A13" s="21" t="str">
        <x:v>fleet procurement</x:v>
      </x:c>
      <x:c r="B13" s="21" t="str">
        <x:v>BLOCKED</x:v>
      </x:c>
      <x:c r="C13" s="21" t="str">
        <x:v>reliability, regeneration and mission evidence</x:v>
      </x:c>
    </x:row>
    <x:row r="14">
      <x:c r="A14" s="21" t="str">
        <x:v>allied or export release</x:v>
      </x:c>
      <x:c r="B14" s="21" t="str">
        <x:v>BLOCKED</x:v>
      </x:c>
      <x:c r="C14" s="21" t="str">
        <x:v>partner controls and accepted operational article</x:v>
      </x:c>
    </x:row>
    <x:row r="15">
      <x:c r="A15" s="21" t="str">
        <x:v>exterior rendering</x:v>
      </x:c>
      <x:c r="B15" s="21" t="str">
        <x:v>BLOCKED</x:v>
      </x:c>
      <x:c r="C15" s="21" t="str">
        <x:v>operational architecture absent</x:v>
      </x:c>
    </x:row>
  </x:sheetData>
  <x:conditionalFormatting sqref="B5:B15">
    <x:cfRule type="containsText" dxfId="126" priority="1" operator="containsText" text="PASS"/>
    <x:cfRule type="containsText" dxfId="127" priority="2" operator="containsText" text="ACCEPTED"/>
    <x:cfRule type="containsText" dxfId="128" priority="3" operator="containsText" text="OPEN"/>
    <x:cfRule type="containsText" dxfId="129" priority="4" operator="containsText" text="BLOCKED"/>
    <x:cfRule type="containsText" dxfId="130" priority="5" operator="containsText" text="FAIL"/>
    <x:cfRule type="containsText" dxfId="131" priority="6" operator="containsText" text="STOP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54" hidden="0" customWidth="1"/>
    <x:col min="4" max="4" width="25" hidden="0" customWidth="1"/>
    <x:col min="5" max="5" width="55" hidden="0" customWidth="1"/>
  </x:cols>
  <x:sheetData>
    <x:row r="1" ht="28" customHeight="1">
      <x:c r="A1" s="17" t="str">
        <x:v>Continuation and stop rules</x:v>
      </x:c>
      <x:c r="B1" s="17"/>
      <x:c r="C1" s="17"/>
      <x:c r="D1" s="17"/>
      <x:c r="E1" s="17"/>
    </x:row>
    <x:row r="2" ht="34" customHeight="1">
      <x:c r="A2" s="18" t="str">
        <x:v>The constitution preserves the experiment under failure, invalidity and public safety action.</x:v>
      </x:c>
      <x:c r="B2" s="18"/>
      <x:c r="C2" s="18"/>
      <x:c r="D2" s="18"/>
      <x:c r="E2" s="18"/>
    </x:row>
    <x:row r="3">
      <x:c r="A3" s="19"/>
      <x:c r="B3" s="19"/>
      <x:c r="C3" s="19"/>
      <x:c r="D3" s="19"/>
      <x:c r="E3" s="19"/>
    </x:row>
    <x:row r="4">
      <x:c r="A4" s="20" t="str">
        <x:v>Rule</x:v>
      </x:c>
      <x:c r="B4" s="20" t="str">
        <x:v>Domain</x:v>
      </x:c>
      <x:c r="C4" s="20" t="str">
        <x:v>Condition</x:v>
      </x:c>
      <x:c r="D4" s="20" t="str">
        <x:v>Decision</x:v>
      </x:c>
      <x:c r="E4" s="20" t="str">
        <x:v>Consequence</x:v>
      </x:c>
    </x:row>
    <x:row r="5">
      <x:c r="A5" s="21" t="str">
        <x:v>R01</x:v>
      </x:c>
      <x:c r="B5" s="21" t="str">
        <x:v>prior authority</x:v>
      </x:c>
      <x:c r="C5" s="21" t="str">
        <x:v>RBB-1 source transfer not accepted</x:v>
      </x:c>
      <x:c r="D5" s="21" t="str">
        <x:v>STOP</x:v>
      </x:c>
      <x:c r="E5" s="21" t="str">
        <x:v>no QE-03 issue</x:v>
      </x:c>
    </x:row>
    <x:row r="6">
      <x:c r="A6" s="21" t="str">
        <x:v>R02</x:v>
      </x:c>
      <x:c r="B6" s="21" t="str">
        <x:v>rate</x:v>
      </x:c>
      <x:c r="C6" s="21" t="str">
        <x:v>any rig lacks four accepted trials</x:v>
      </x:c>
      <x:c r="D6" s="21" t="str">
        <x:v>INELIGIBLE</x:v>
      </x:c>
      <x:c r="E6" s="21" t="str">
        <x:v>no draw subset</x:v>
      </x:c>
    </x:row>
    <x:row r="7">
      <x:c r="A7" s="21" t="str">
        <x:v>R03</x:v>
      </x:c>
      <x:c r="B7" s="21" t="str">
        <x:v>surge</x:v>
      </x:c>
      <x:c r="C7" s="21" t="str">
        <x:v>measured transient reaches design boundary</x:v>
      </x:c>
      <x:c r="D7" s="21" t="str">
        <x:v>STOP</x:v>
      </x:c>
      <x:c r="E7" s="21" t="str">
        <x:v>new route or control research</x:v>
      </x:c>
    </x:row>
    <x:row r="8">
      <x:c r="A8" s="21" t="str">
        <x:v>R04</x:v>
      </x:c>
      <x:c r="B8" s="21" t="str">
        <x:v>receiver</x:v>
      </x:c>
      <x:c r="C8" s="21" t="str">
        <x:v>usable volume does not close</x:v>
      </x:c>
      <x:c r="D8" s="21" t="str">
        <x:v>STOP</x:v>
      </x:c>
      <x:c r="E8" s="21" t="str">
        <x:v>new receiver object</x:v>
      </x:c>
    </x:row>
    <x:row r="9">
      <x:c r="A9" s="21" t="str">
        <x:v>R05</x:v>
      </x:c>
      <x:c r="B9" s="21" t="str">
        <x:v>selection</x:v>
      </x:c>
      <x:c r="C9" s="21" t="str">
        <x:v>fewer than 12 cells eligible</x:v>
      </x:c>
      <x:c r="D9" s="21" t="str">
        <x:v>STOP</x:v>
      </x:c>
      <x:c r="E9" s="21" t="str">
        <x:v>no subset draw</x:v>
      </x:c>
    </x:row>
    <x:row r="10">
      <x:c r="A10" s="21" t="str">
        <x:v>R06</x:v>
      </x:c>
      <x:c r="B10" s="21" t="str">
        <x:v>replacement</x:v>
      </x:c>
      <x:c r="C10" s="21" t="str">
        <x:v>primary independently INVALID</x:v>
      </x:c>
      <x:c r="D10" s="21" t="str">
        <x:v>ALLOW ONE</x:v>
      </x:c>
      <x:c r="E10" s="21" t="str">
        <x:v>same cell and root family</x:v>
      </x:c>
    </x:row>
    <x:row r="11">
      <x:c r="A11" s="21" t="str">
        <x:v>R07</x:v>
      </x:c>
      <x:c r="B11" s="21" t="str">
        <x:v>replacement</x:v>
      </x:c>
      <x:c r="C11" s="21" t="str">
        <x:v>primary valid adverse</x:v>
      </x:c>
      <x:c r="D11" s="21" t="str">
        <x:v>PROHIBIT</x:v>
      </x:c>
      <x:c r="E11" s="21" t="str">
        <x:v>retain terminal result</x:v>
      </x:c>
    </x:row>
    <x:row r="12">
      <x:c r="A12" s="21" t="str">
        <x:v>R08</x:v>
      </x:c>
      <x:c r="B12" s="21" t="str">
        <x:v>source budget</x:v>
      </x:c>
      <x:c r="C12" s="21" t="str">
        <x:v>primary or replacement</x:v>
      </x:c>
      <x:c r="D12" s="21" t="str">
        <x:v>COUNT ACTUAL</x:v>
      </x:c>
      <x:c r="E12" s="21" t="str">
        <x:v>one fixed event-object allowance</x:v>
      </x:c>
    </x:row>
    <x:row r="13">
      <x:c r="A13" s="21" t="str">
        <x:v>R09</x:v>
      </x:c>
      <x:c r="B13" s="21" t="str">
        <x:v>water</x:v>
      </x:c>
      <x:c r="C13" s="21" t="str">
        <x:v>public intervention used</x:v>
      </x:c>
      <x:c r="D13" s="21" t="str">
        <x:v>ADVERSE OR INVALID</x:v>
      </x:c>
      <x:c r="E13" s="21" t="str">
        <x:v>never method performance</x:v>
      </x:c>
    </x:row>
    <x:row r="14">
      <x:c r="A14" s="21" t="str">
        <x:v>R10</x:v>
      </x:c>
      <x:c r="B14" s="21" t="str">
        <x:v>return</x:v>
      </x:c>
      <x:c r="C14" s="21" t="str">
        <x:v>less than 504 hours</x:v>
      </x:c>
      <x:c r="D14" s="21" t="str">
        <x:v>QUARANTINE</x:v>
      </x:c>
      <x:c r="E14" s="21" t="str">
        <x:v>no baseline release</x:v>
      </x:c>
    </x:row>
    <x:row r="15">
      <x:c r="A15" s="21" t="str">
        <x:v>R11</x:v>
      </x:c>
      <x:c r="B15" s="21" t="str">
        <x:v>replay</x:v>
      </x:c>
      <x:c r="C15" s="21" t="str">
        <x:v>origin conclusion copied</x:v>
      </x:c>
      <x:c r="D15" s="21" t="str">
        <x:v>BLOCK</x:v>
      </x:c>
      <x:c r="E15" s="21" t="str">
        <x:v>execute non-origin method</x:v>
      </x:c>
    </x:row>
    <x:row r="16">
      <x:c r="A16" s="21" t="str">
        <x:v>R12</x:v>
      </x:c>
      <x:c r="B16" s="21" t="str">
        <x:v>finance</x:v>
      </x:c>
      <x:c r="C16" s="21" t="str">
        <x:v>any parent remainder below zero</x:v>
      </x:c>
      <x:c r="D16" s="21" t="str">
        <x:v>STOP</x:v>
      </x:c>
      <x:c r="E16" s="21" t="str">
        <x:v>prospective rescope</x:v>
      </x:c>
    </x:row>
    <x:row r="17">
      <x:c r="A17" s="21" t="str">
        <x:v>R13</x:v>
      </x:c>
      <x:c r="B17" s="21" t="str">
        <x:v>authority</x:v>
      </x:c>
      <x:c r="C17" s="21" t="str">
        <x:v>one exact cell credited</x:v>
      </x:c>
      <x:c r="D17" s="21" t="str">
        <x:v>PERMIT RBD-1 CONSTITUTION</x:v>
      </x:c>
      <x:c r="E17" s="21" t="str">
        <x:v>not second event issue</x:v>
      </x:c>
    </x:row>
    <x:row r="18">
      <x:c r="A18" s="21" t="str">
        <x:v>R14</x:v>
      </x:c>
      <x:c r="B18" s="21" t="str">
        <x:v>authority</x:v>
      </x:c>
      <x:c r="C18" s="21" t="str">
        <x:v>RBC-1 accepted</x:v>
      </x:c>
      <x:c r="D18" s="21" t="str">
        <x:v>NO AM-06 AUTHORITY</x:v>
      </x:c>
      <x:c r="E18" s="21" t="str">
        <x:v>flame and new event evidence absent</x:v>
      </x:c>
    </x:row>
    <x:row r="19">
      <x:c r="A19" s="21" t="str">
        <x:v>R15</x:v>
      </x:c>
      <x:c r="B19" s="21" t="str">
        <x:v>rendering</x:v>
      </x:c>
      <x:c r="C19" s="21" t="str">
        <x:v>operational form absent</x:v>
      </x:c>
      <x:c r="D19" s="21" t="str">
        <x:v>BLOCK</x:v>
      </x:c>
      <x:c r="E19" s="21" t="str">
        <x:v>continue first-principles research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1" hidden="0" customWidth="1"/>
    <x:col min="3" max="3" width="20" hidden="0" customWidth="1"/>
    <x:col min="4" max="4" width="23" hidden="0" customWidth="1"/>
    <x:col min="5" max="5" width="21" hidden="0" customWidth="1"/>
    <x:col min="6" max="6" width="18" hidden="0" customWidth="1"/>
  </x:cols>
  <x:sheetData>
    <x:row r="1" ht="28" customHeight="1">
      <x:c r="A1" s="17" t="str">
        <x:v>RBC-1 capacity</x:v>
      </x:c>
      <x:c r="B1" s="17"/>
      <x:c r="C1" s="17"/>
      <x:c r="D1" s="17"/>
      <x:c r="E1" s="17"/>
      <x:c r="F1" s="17"/>
    </x:row>
    <x:row r="2" ht="34" customHeight="1">
      <x:c r="A2" s="18" t="str">
        <x:v>Future class stock and first-event authority remain separate.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>
      <x:c r="A4" s="20" t="str">
        <x:v>Resource</x:v>
      </x:c>
      <x:c r="B4" s="20" t="str">
        <x:v>Primary or active</x:v>
      </x:c>
      <x:c r="C4" s="20" t="str">
        <x:v>Reserve</x:v>
      </x:c>
      <x:c r="D4" s="20" t="str">
        <x:v>Protected reference</x:v>
      </x:c>
      <x:c r="E4" s="20" t="str">
        <x:v>Total capacity</x:v>
      </x:c>
      <x:c r="F4" s="20" t="str">
        <x:v>Unit</x:v>
      </x:c>
    </x:row>
    <x:row r="5">
      <x:c r="A5" s="21" t="str">
        <x:v>Source packages</x:v>
      </x:c>
      <x:c r="B5" s="21" t="n">
        <x:v>12</x:v>
      </x:c>
      <x:c r="C5" s="21" t="n">
        <x:v>14</x:v>
      </x:c>
      <x:c r="D5" s="21" t="n">
        <x:v>2</x:v>
      </x:c>
      <x:c r="E5" s="21" t="n">
        <x:v>28</x:v>
      </x:c>
      <x:c r="F5" s="21" t="str">
        <x:v>packages</x:v>
      </x:c>
    </x:row>
    <x:row r="6">
      <x:c r="A6" s="21" t="str">
        <x:v>Gross source-package custody</x:v>
      </x:c>
      <x:c r="B6" s="21" t="n">
        <x:v>3600</x:v>
      </x:c>
      <x:c r="C6" s="21" t="n">
        <x:v>4200</x:v>
      </x:c>
      <x:c r="D6" s="21" t="n">
        <x:v>600</x:v>
      </x:c>
      <x:c r="E6" s="21" t="n">
        <x:v>8400</x:v>
      </x:c>
      <x:c r="F6" s="21" t="str">
        <x:v>kg</x:v>
      </x:c>
    </x:row>
    <x:row r="7">
      <x:c r="A7" s="21" t="str">
        <x:v>Future class event source</x:v>
      </x:c>
      <x:c r="B7" s="21" t="n">
        <x:v>3000</x:v>
      </x:c>
      <x:c r="C7" s="21" t="n">
        <x:v>3500</x:v>
      </x:c>
      <x:c r="D7" s="21" t="n">
        <x:v>0</x:v>
      </x:c>
      <x:c r="E7" s="21" t="n">
        <x:v>6500</x:v>
      </x:c>
      <x:c r="F7" s="21" t="str">
        <x:v>kg</x:v>
      </x:c>
    </x:row>
    <x:row r="8">
      <x:c r="A8" s="21" t="str">
        <x:v>First-event source issue</x:v>
      </x:c>
      <x:c r="B8" s="21" t="n">
        <x:v>250</x:v>
      </x:c>
      <x:c r="C8" s="21" t="n">
        <x:v>250</x:v>
      </x:c>
      <x:c r="D8" s="21" t="n">
        <x:v>0</x:v>
      </x:c>
      <x:c r="E8" s="21" t="n">
        <x:v>500</x:v>
      </x:c>
      <x:c r="F8" s="21" t="str">
        <x:v>kg</x:v>
      </x:c>
    </x:row>
    <x:row r="9">
      <x:c r="A9" s="21" t="str">
        <x:v>Rate-extension trials</x:v>
      </x:c>
      <x:c r="B9" s="21" t="n">
        <x:v>24</x:v>
      </x:c>
      <x:c r="C9" s="21" t="n">
        <x:v>0</x:v>
      </x:c>
      <x:c r="D9" s="21" t="n">
        <x:v>0</x:v>
      </x:c>
      <x:c r="E9" s="21" t="n">
        <x:v>24</x:v>
      </x:c>
      <x:c r="F9" s="21" t="str">
        <x:v>trials</x:v>
      </x:c>
    </x:row>
    <x:row r="10">
      <x:c r="A10" s="21" t="str">
        <x:v>Eligibility decisions</x:v>
      </x:c>
      <x:c r="B10" s="21" t="n">
        <x:v>288</x:v>
      </x:c>
      <x:c r="C10" s="21" t="n">
        <x:v>0</x:v>
      </x:c>
      <x:c r="D10" s="21" t="n">
        <x:v>0</x:v>
      </x:c>
      <x:c r="E10" s="21" t="n">
        <x:v>288</x:v>
      </x:c>
      <x:c r="F10" s="21" t="str">
        <x:v>decisions</x:v>
      </x:c>
    </x:row>
    <x:row r="11">
      <x:c r="A11" s="21" t="str">
        <x:v>Event gates</x:v>
      </x:c>
      <x:c r="B11" s="21" t="n">
        <x:v>42</x:v>
      </x:c>
      <x:c r="C11" s="21" t="n">
        <x:v>42</x:v>
      </x:c>
      <x:c r="D11" s="21" t="n">
        <x:v>0</x:v>
      </x:c>
      <x:c r="E11" s="21" t="n">
        <x:v>84</x:v>
      </x:c>
      <x:c r="F11" s="21" t="str">
        <x:v>decisions</x:v>
      </x:c>
    </x:row>
    <x:row r="12">
      <x:c r="A12" s="21" t="str">
        <x:v>Dossier bindings</x:v>
      </x:c>
      <x:c r="B12" s="21" t="n">
        <x:v>217</x:v>
      </x:c>
      <x:c r="C12" s="21" t="n">
        <x:v>217</x:v>
      </x:c>
      <x:c r="D12" s="21" t="n">
        <x:v>0</x:v>
      </x:c>
      <x:c r="E12" s="21" t="n">
        <x:v>434</x:v>
      </x:c>
      <x:c r="F12" s="21" t="str">
        <x:v>bindings</x:v>
      </x:c>
    </x:row>
    <x:row r="13">
      <x:c r="A13" s="21" t="str">
        <x:v>Safeing proofs</x:v>
      </x:c>
      <x:c r="B13" s="21" t="n">
        <x:v>36</x:v>
      </x:c>
      <x:c r="C13" s="21" t="n">
        <x:v>36</x:v>
      </x:c>
      <x:c r="D13" s="21" t="n">
        <x:v>0</x:v>
      </x:c>
      <x:c r="E13" s="21" t="n">
        <x:v>72</x:v>
      </x:c>
      <x:c r="F13" s="21" t="str">
        <x:v>proofs</x:v>
      </x:c>
    </x:row>
    <x:row r="14">
      <x:c r="A14" s="21" t="str">
        <x:v>Root-specific measurements</x:v>
      </x:c>
      <x:c r="B14" s="21" t="n">
        <x:v>60</x:v>
      </x:c>
      <x:c r="C14" s="21" t="n">
        <x:v>60</x:v>
      </x:c>
      <x:c r="D14" s="21" t="n">
        <x:v>0</x:v>
      </x:c>
      <x:c r="E14" s="21" t="n">
        <x:v>120</x:v>
      </x:c>
      <x:c r="F14" s="21" t="str">
        <x:v>measurements</x:v>
      </x:c>
    </x:row>
    <x:row r="15">
      <x:c r="A15" s="21" t="str">
        <x:v>Samples</x:v>
      </x:c>
      <x:c r="B15" s="21" t="n">
        <x:v>10</x:v>
      </x:c>
      <x:c r="C15" s="21" t="n">
        <x:v>10</x:v>
      </x:c>
      <x:c r="D15" s="21" t="n">
        <x:v>0</x:v>
      </x:c>
      <x:c r="E15" s="21" t="n">
        <x:v>20</x:v>
      </x:c>
      <x:c r="F15" s="21" t="str">
        <x:v>samples</x:v>
      </x:c>
    </x:row>
    <x:row r="16">
      <x:c r="A16" s="21" t="str">
        <x:v>Regeneration work packages</x:v>
      </x:c>
      <x:c r="B16" s="21" t="n">
        <x:v>20</x:v>
      </x:c>
      <x:c r="C16" s="21" t="n">
        <x:v>20</x:v>
      </x:c>
      <x:c r="D16" s="21" t="n">
        <x:v>0</x:v>
      </x:c>
      <x:c r="E16" s="21" t="n">
        <x:v>40</x:v>
      </x:c>
      <x:c r="F16" s="21" t="str">
        <x:v>work packages</x:v>
      </x:c>
    </x:row>
    <x:row r="17">
      <x:c r="A17" s="21" t="str">
        <x:v>Re-entry decisions</x:v>
      </x:c>
      <x:c r="B17" s="21" t="n">
        <x:v>14</x:v>
      </x:c>
      <x:c r="C17" s="21" t="n">
        <x:v>14</x:v>
      </x:c>
      <x:c r="D17" s="21" t="n">
        <x:v>0</x:v>
      </x:c>
      <x:c r="E17" s="21" t="n">
        <x:v>28</x:v>
      </x:c>
      <x:c r="F17" s="21" t="str">
        <x:v>decisions</x:v>
      </x:c>
    </x:row>
    <x:row r="18">
      <x:c r="A18" s="21" t="str">
        <x:v>Outside-origin replay</x:v>
      </x:c>
      <x:c r="B18" s="21" t="n">
        <x:v>24</x:v>
      </x:c>
      <x:c r="C18" s="21" t="n">
        <x:v>24</x:v>
      </x:c>
      <x:c r="D18" s="21" t="n">
        <x:v>0</x:v>
      </x:c>
      <x:c r="E18" s="21" t="n">
        <x:v>48</x:v>
      </x:c>
      <x:c r="F18" s="21" t="str">
        <x:v>decisions</x:v>
      </x:c>
    </x:row>
    <x:row r="19">
      <x:c r="A19" s="21" t="str">
        <x:v>Native evidence</x:v>
      </x:c>
      <x:c r="B19" s="21" t="n">
        <x:v>192.061570176</x:v>
      </x:c>
      <x:c r="C19" s="21" t="n">
        <x:v>192.061570176</x:v>
      </x:c>
      <x:c r="D19" s="21" t="n">
        <x:v>0</x:v>
      </x:c>
      <x:c r="E19" s="21" t="n">
        <x:v>384.123140352</x:v>
      </x:c>
      <x:c r="F19" s="21" t="str">
        <x:v>GB</x:v>
      </x:c>
    </x:row>
    <x:row r="20">
      <x:c r="A20" s="21" t="str">
        <x:v>Allocated evidence</x:v>
      </x:c>
      <x:c r="B20" s="21" t="n">
        <x:v>249.6800412288</x:v>
      </x:c>
      <x:c r="C20" s="21" t="n">
        <x:v>249.6800412288</x:v>
      </x:c>
      <x:c r="D20" s="21" t="n">
        <x:v>0</x:v>
      </x:c>
      <x:c r="E20" s="21" t="n">
        <x:v>499.3600824576</x:v>
      </x:c>
      <x:c r="F20" s="21" t="str">
        <x:v>GB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18" hidden="0" customWidth="1"/>
    <x:col min="3" max="3" width="25" hidden="0" customWidth="1"/>
    <x:col min="4" max="4" width="61" hidden="0" customWidth="1"/>
  </x:cols>
  <x:sheetData>
    <x:row r="1" ht="28" customHeight="1">
      <x:c r="A1" s="17" t="str">
        <x:v>384-position QE-03 first-event formation</x:v>
      </x:c>
      <x:c r="B1" s="17"/>
      <x:c r="C1" s="17"/>
      <x:c r="D1" s="17"/>
    </x:row>
    <x:row r="2" ht="34" customHeight="1">
      <x:c r="A2" s="18" t="str">
        <x:v>The larger event requires simultaneous public capacity outside the selected crew.</x:v>
      </x:c>
      <x:c r="B2" s="18"/>
      <x:c r="C2" s="18"/>
      <x:c r="D2" s="18"/>
    </x:row>
    <x:row r="3">
      <x:c r="A3" s="19"/>
      <x:c r="B3" s="19"/>
      <x:c r="C3" s="19"/>
      <x:c r="D3" s="19"/>
    </x:row>
    <x:row r="4">
      <x:c r="A4" s="20" t="str">
        <x:v>Function</x:v>
      </x:c>
      <x:c r="B4" s="20" t="str">
        <x:v>Positions</x:v>
      </x:c>
      <x:c r="C4" s="20" t="str">
        <x:v>Allocation</x:v>
      </x:c>
      <x:c r="D4" s="20" t="str">
        <x:v>Operating role</x:v>
      </x:c>
    </x:row>
    <x:row r="5">
      <x:c r="A5" s="21" t="str">
        <x:v>Selected event unit</x:v>
      </x:c>
      <x:c r="B5" s="21" t="n">
        <x:v>64</x:v>
      </x:c>
      <x:c r="C5" s="21" t="str">
        <x:v>one event only</x:v>
      </x:c>
      <x:c r="D5" s="21" t="str">
        <x:v>event, custody, truth, safety, evidence and return</x:v>
      </x:c>
    </x:row>
    <x:row r="6">
      <x:c r="A6" s="21" t="str">
        <x:v>Rate-extension and rig configuration</x:v>
      </x:c>
      <x:c r="B6" s="21" t="n">
        <x:v>96</x:v>
      </x:c>
      <x:c r="C6" s="21" t="str">
        <x:v>six rigs</x:v>
      </x:c>
      <x:c r="D6" s="21" t="str">
        <x:v>SF-800 trials and conversion state</x:v>
      </x:c>
    </x:row>
    <x:row r="7">
      <x:c r="A7" s="21" t="str">
        <x:v>Source bank and laboratories</x:v>
      </x:c>
      <x:c r="B7" s="21" t="n">
        <x:v>64</x:v>
      </x:c>
      <x:c r="C7" s="21" t="str">
        <x:v>two root families</x:v>
      </x:c>
      <x:c r="D7" s="21" t="str">
        <x:v>package release, assay and long-term custody</x:v>
      </x:c>
    </x:row>
    <x:row r="8">
      <x:c r="A8" s="21" t="str">
        <x:v>Regeneration, environment and waste</x:v>
      </x:c>
      <x:c r="B8" s="21" t="n">
        <x:v>64</x:v>
      </x:c>
      <x:c r="C8" s="21" t="str">
        <x:v>national and campus</x:v>
      </x:c>
      <x:c r="D8" s="21" t="str">
        <x:v>delayed residue, recovery and destinations</x:v>
      </x:c>
    </x:row>
    <x:row r="9">
      <x:c r="A9" s="21" t="str">
        <x:v>Replay and independent boards</x:v>
      </x:c>
      <x:c r="B9" s="21" t="n">
        <x:v>48</x:v>
      </x:c>
      <x:c r="C9" s="21" t="str">
        <x:v>outside origin</x:v>
      </x:c>
      <x:c r="D9" s="21" t="str">
        <x:v>method execution and decisions</x:v>
      </x:c>
    </x:row>
    <x:row r="10">
      <x:c r="A10" s="21" t="str">
        <x:v>Relief, scheduling, records and command</x:v>
      </x:c>
      <x:c r="B10" s="21" t="n">
        <x:v>48</x:v>
      </x:c>
      <x:c r="C10" s="21" t="str">
        <x:v>standing rotation</x:v>
      </x:c>
      <x:c r="D10" s="21" t="str">
        <x:v>coverage without authority combination</x:v>
      </x:c>
    </x:row>
    <x:row r="11">
      <x:c r="A11" s="21" t="str">
        <x:v>Total</x:v>
      </x:c>
      <x:c r="B11" s="21" t="n">
        <x:f>SUM(B5:B10)</x:f>
        <x:v>384</x:v>
      </x:c>
      <x:c r="C11" s="21" t="str"/>
      <x:c r="D11" s="21" t="str">
        <x:v>must equal 384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19" hidden="0" customWidth="1"/>
    <x:col min="4" max="4" width="20" hidden="0" customWidth="1"/>
  </x:cols>
  <x:sheetData>
    <x:row r="1" ht="28" customHeight="1">
      <x:c r="A1" s="17" t="str">
        <x:v>RBC-1 allocation</x:v>
      </x:c>
      <x:c r="B1" s="17"/>
      <x:c r="C1" s="17"/>
      <x:c r="D1" s="17"/>
    </x:row>
    <x:row r="2" ht="34" customHeight="1">
      <x:c r="A2" s="18" t="str">
        <x:v>Real 2026 USD. Technology is cross-classified and excluded from stage exposure.</x:v>
      </x:c>
      <x:c r="B2" s="18"/>
      <x:c r="C2" s="18"/>
      <x:c r="D2" s="18"/>
    </x:row>
    <x:row r="3">
      <x:c r="A3" s="19"/>
      <x:c r="B3" s="19"/>
      <x:c r="C3" s="19"/>
      <x:c r="D3" s="19"/>
    </x:row>
    <x:row r="4">
      <x:c r="A4" s="20" t="str">
        <x:v>Account</x:v>
      </x:c>
      <x:c r="B4" s="20" t="str">
        <x:v>Line item</x:v>
      </x:c>
      <x:c r="C4" s="20" t="str">
        <x:v>Amount</x:v>
      </x:c>
      <x:c r="D4" s="20" t="str">
        <x:v>Unit</x:v>
      </x:c>
    </x:row>
    <x:row r="5">
      <x:c r="A5" s="21" t="str">
        <x:v>Capital</x:v>
      </x:c>
      <x:c r="B5" s="21" t="str">
        <x:v>rate-extension and closure fixtures</x:v>
      </x:c>
      <x:c r="C5" s="21" t="n">
        <x:v>10</x:v>
      </x:c>
      <x:c r="D5" s="21" t="str">
        <x:v>USD M</x:v>
      </x:c>
    </x:row>
    <x:row r="6">
      <x:c r="A6" s="21" t="str">
        <x:v>Capital</x:v>
      </x:c>
      <x:c r="B6" s="21" t="str">
        <x:v>six capture-plane conversions</x:v>
      </x:c>
      <x:c r="C6" s="21" t="n">
        <x:v>9</x:v>
      </x:c>
      <x:c r="D6" s="21" t="str">
        <x:v>USD M</x:v>
      </x:c>
    </x:row>
    <x:row r="7">
      <x:c r="A7" s="21" t="str">
        <x:v>Capital</x:v>
      </x:c>
      <x:c r="B7" s="21" t="str">
        <x:v>receiver and recovery modifications</x:v>
      </x:c>
      <x:c r="C7" s="21" t="n">
        <x:v>8</x:v>
      </x:c>
      <x:c r="D7" s="21" t="str">
        <x:v>USD M</x:v>
      </x:c>
    </x:row>
    <x:row r="8">
      <x:c r="A8" s="21" t="str">
        <x:v>Capital</x:v>
      </x:c>
      <x:c r="B8" s="21" t="str">
        <x:v>source bank and custody</x:v>
      </x:c>
      <x:c r="C8" s="21" t="n">
        <x:v>8</x:v>
      </x:c>
      <x:c r="D8" s="21" t="str">
        <x:v>USD M</x:v>
      </x:c>
    </x:row>
    <x:row r="9">
      <x:c r="A9" s="21" t="str">
        <x:v>Capital</x:v>
      </x:c>
      <x:c r="B9" s="21" t="str">
        <x:v>pressure, hold-up and mass metrology</x:v>
      </x:c>
      <x:c r="C9" s="21" t="n">
        <x:v>6</x:v>
      </x:c>
      <x:c r="D9" s="21" t="str">
        <x:v>USD M</x:v>
      </x:c>
    </x:row>
    <x:row r="10">
      <x:c r="A10" s="21" t="str">
        <x:v>Capital</x:v>
      </x:c>
      <x:c r="B10" s="21" t="str">
        <x:v>evidence, time and replay capacity</x:v>
      </x:c>
      <x:c r="C10" s="21" t="n">
        <x:v>5</x:v>
      </x:c>
      <x:c r="D10" s="21" t="str">
        <x:v>USD M</x:v>
      </x:c>
    </x:row>
    <x:row r="11">
      <x:c r="A11" s="21" t="str">
        <x:v>Capital</x:v>
      </x:c>
      <x:c r="B11" s="21" t="str">
        <x:v>regeneration, waste and environment</x:v>
      </x:c>
      <x:c r="C11" s="21" t="n">
        <x:v>4</x:v>
      </x:c>
      <x:c r="D11" s="21" t="str">
        <x:v>USD M</x:v>
      </x:c>
    </x:row>
    <x:row r="12">
      <x:c r="A12" s="21" t="str">
        <x:v>Capital</x:v>
      </x:c>
      <x:c r="B12" s="21" t="str">
        <x:v>public safety and rescue readiness</x:v>
      </x:c>
      <x:c r="C12" s="21" t="n">
        <x:v>2</x:v>
      </x:c>
      <x:c r="D12" s="21" t="str">
        <x:v>USD M</x:v>
      </x:c>
    </x:row>
    <x:row r="13">
      <x:c r="A13" s="21" t="str">
        <x:v>Capital</x:v>
      </x:c>
      <x:c r="B13" s="21" t="str">
        <x:v>controlled contingency</x:v>
      </x:c>
      <x:c r="C13" s="21" t="n">
        <x:v>2</x:v>
      </x:c>
      <x:c r="D13" s="21" t="str">
        <x:v>USD M</x:v>
      </x:c>
    </x:row>
    <x:row r="14">
      <x:c r="A14" s="21" t="str">
        <x:v>Capital</x:v>
      </x:c>
      <x:c r="B14" s="21" t="str">
        <x:v>Total</x:v>
      </x:c>
      <x:c r="C14" s="21" t="n">
        <x:f>SUM(C5:C13)</x:f>
        <x:v>54</x:v>
      </x:c>
      <x:c r="D14" s="21" t="str">
        <x:v>USD M</x:v>
      </x:c>
    </x:row>
    <x:row r="15">
      <x:c r="A15" s="21" t="str">
        <x:v>Annual</x:v>
      </x:c>
      <x:c r="B15" s="21" t="str">
        <x:v>source custody and laboratories</x:v>
      </x:c>
      <x:c r="C15" s="21" t="n">
        <x:v>3</x:v>
      </x:c>
      <x:c r="D15" s="21" t="str">
        <x:v>USD M/year</x:v>
      </x:c>
    </x:row>
    <x:row r="16">
      <x:c r="A16" s="21" t="str">
        <x:v>Annual</x:v>
      </x:c>
      <x:c r="B16" s="21" t="str">
        <x:v>rig and rate-extension operations</x:v>
      </x:c>
      <x:c r="C16" s="21" t="n">
        <x:v>3</x:v>
      </x:c>
      <x:c r="D16" s="21" t="str">
        <x:v>USD M/year</x:v>
      </x:c>
    </x:row>
    <x:row r="17">
      <x:c r="A17" s="21" t="str">
        <x:v>Annual</x:v>
      </x:c>
      <x:c r="B17" s="21" t="str">
        <x:v>metrology</x:v>
      </x:c>
      <x:c r="C17" s="21" t="n">
        <x:v>2</x:v>
      </x:c>
      <x:c r="D17" s="21" t="str">
        <x:v>USD M/year</x:v>
      </x:c>
    </x:row>
    <x:row r="18">
      <x:c r="A18" s="21" t="str">
        <x:v>Annual</x:v>
      </x:c>
      <x:c r="B18" s="21" t="str">
        <x:v>evidence and replay</x:v>
      </x:c>
      <x:c r="C18" s="21" t="n">
        <x:v>1.5</x:v>
      </x:c>
      <x:c r="D18" s="21" t="str">
        <x:v>USD M/year</x:v>
      </x:c>
    </x:row>
    <x:row r="19">
      <x:c r="A19" s="21" t="str">
        <x:v>Annual</x:v>
      </x:c>
      <x:c r="B19" s="21" t="str">
        <x:v>environment, waste and rescue</x:v>
      </x:c>
      <x:c r="C19" s="21" t="n">
        <x:v>1.5</x:v>
      </x:c>
      <x:c r="D19" s="21" t="str">
        <x:v>USD M/year</x:v>
      </x:c>
    </x:row>
    <x:row r="20">
      <x:c r="A20" s="21" t="str">
        <x:v>Annual</x:v>
      </x:c>
      <x:c r="B20" s="21" t="str">
        <x:v>independent boards and records</x:v>
      </x:c>
      <x:c r="C20" s="21" t="n">
        <x:v>1</x:v>
      </x:c>
      <x:c r="D20" s="21" t="str">
        <x:v>USD M/year</x:v>
      </x:c>
    </x:row>
    <x:row r="21">
      <x:c r="A21" s="21" t="str">
        <x:v>Annual</x:v>
      </x:c>
      <x:c r="B21" s="21" t="str">
        <x:v>Total</x:v>
      </x:c>
      <x:c r="C21" s="21" t="n">
        <x:f>SUM(C15:C20)</x:f>
        <x:v>12</x:v>
      </x:c>
      <x:c r="D21" s="21" t="str">
        <x:v>USD M/year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1" hidden="0" customWidth="1"/>
    <x:col min="3" max="3" width="24" hidden="0" customWidth="1"/>
    <x:col min="4" max="4" width="22" hidden="0" customWidth="1"/>
    <x:col min="5" max="5" width="31" hidden="0" customWidth="1"/>
    <x:col min="6" max="6" width="58" hidden="0" customWidth="1"/>
  </x:cols>
  <x:sheetData>
    <x:row r="1" ht="28" customHeight="1">
      <x:c r="A1" s="17" t="str">
        <x:v>Parent and child financial boundary</x:v>
      </x:c>
      <x:c r="B1" s="17"/>
      <x:c r="C1" s="17"/>
      <x:c r="D1" s="17"/>
      <x:c r="E1" s="17"/>
      <x:c r="F1" s="17"/>
    </x:row>
    <x:row r="2" ht="34" customHeight="1">
      <x:c r="A2" s="18" t="str">
        <x:v>Arithmetic differences do not create source, schedule or physical authority.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>
      <x:c r="A4" s="20" t="str">
        <x:v>Boundary</x:v>
      </x:c>
      <x:c r="B4" s="20" t="str">
        <x:v>Capital USD M</x:v>
      </x:c>
      <x:c r="C4" s="20" t="str">
        <x:v>Annual USD M/year</x:v>
      </x:c>
      <x:c r="D4" s="20" t="str">
        <x:v>Technology USD M</x:v>
      </x:c>
      <x:c r="E4" s="20" t="str">
        <x:v>Stage or program exposure USD M</x:v>
      </x:c>
      <x:c r="F4" s="20" t="str">
        <x:v>Interpretation</x:v>
      </x:c>
    </x:row>
    <x:row r="5">
      <x:c r="A5" s="21" t="str">
        <x:v>RAS-1 parent</x:v>
      </x:c>
      <x:c r="B5" s="21" t="n">
        <x:v>620</x:v>
      </x:c>
      <x:c r="C5" s="21" t="n">
        <x:v>235</x:v>
      </x:c>
      <x:c r="D5" s="21" t="n">
        <x:v>1005</x:v>
      </x:c>
      <x:c r="E5" s="21" t="n">
        <x:v>1207.5</x:v>
      </x:c>
      <x:c r="F5" s="21" t="str">
        <x:v>registered parent</x:v>
      </x:c>
    </x:row>
    <x:row r="6">
      <x:c r="A6" s="21" t="str">
        <x:v>Through RBB-1</x:v>
      </x:c>
      <x:c r="B6" s="21" t="n">
        <x:v>444</x:v>
      </x:c>
      <x:c r="C6" s="21" t="n">
        <x:v>200</x:v>
      </x:c>
      <x:c r="D6" s="21" t="n">
        <x:v>690</x:v>
      </x:c>
      <x:c r="E6" s="21" t="n">
        <x:v>728</x:v>
      </x:c>
      <x:c r="F6" s="21" t="str">
        <x:v>prior child allocation and stage exposure</x:v>
      </x:c>
    </x:row>
    <x:row r="7">
      <x:c r="A7" s="21" t="str">
        <x:v>RBC-1</x:v>
      </x:c>
      <x:c r="B7" s="21" t="n">
        <x:v>54</x:v>
      </x:c>
      <x:c r="C7" s="21" t="n">
        <x:v>12</x:v>
      </x:c>
      <x:c r="D7" s="21" t="n">
        <x:v>105</x:v>
      </x:c>
      <x:c r="E7" s="21" t="n">
        <x:v>63</x:v>
      </x:c>
      <x:c r="F7" s="21" t="str">
        <x:v>nine-month stage</x:v>
      </x:c>
    </x:row>
    <x:row r="8">
      <x:c r="A8" s="21" t="str">
        <x:v>Remaining parent authority</x:v>
      </x:c>
      <x:c r="B8" s="21" t="n">
        <x:f>B5-B6-B7</x:f>
        <x:v>122</x:v>
      </x:c>
      <x:c r="C8" s="21" t="n">
        <x:f>C5-C6-C7</x:f>
        <x:v>23</x:v>
      </x:c>
      <x:c r="D8" s="21" t="n">
        <x:f>D5-D6-D7</x:f>
        <x:v>210</x:v>
      </x:c>
      <x:c r="E8" s="21" t="n">
        <x:f>E5-E6-E7</x:f>
        <x:v>416.5</x:v>
      </x:c>
      <x:c r="F8" s="21" t="str">
        <x:v>parent less prior and RBC-1</x:v>
      </x:c>
    </x:row>
    <x:row r="9">
      <x:c r="A9" s="21" t="str">
        <x:v>Cumulative child allocation</x:v>
      </x:c>
      <x:c r="B9" s="21" t="n">
        <x:f>B6+B7</x:f>
        <x:v>498</x:v>
      </x:c>
      <x:c r="C9" s="21" t="n">
        <x:f>C6+C7</x:f>
        <x:v>212</x:v>
      </x:c>
      <x:c r="D9" s="21" t="n">
        <x:f>D6+D7</x:f>
        <x:v>795</x:v>
      </x:c>
      <x:c r="E9" s="21" t="n">
        <x:f>E6+E7</x:f>
        <x:v>791</x:v>
      </x:c>
      <x:c r="F9" s="21" t="str">
        <x:v>through RBB-1 plus RBC-1</x:v>
      </x:c>
    </x:row>
    <x:row r="10">
      <x:c r="A10" s="21" t="str">
        <x:v>Gross exposure difference</x:v>
      </x:c>
      <x:c r="B10" s="21" t="n">
        <x:f>B5-B9</x:f>
        <x:v>122</x:v>
      </x:c>
      <x:c r="C10" s="21" t="n">
        <x:f>C5-C9</x:f>
        <x:v>23</x:v>
      </x:c>
      <x:c r="D10" s="21" t="n">
        <x:f>D5-D9</x:f>
        <x:v>210</x:v>
      </x:c>
      <x:c r="E10" s="21" t="n">
        <x:f>E5-E9</x:f>
        <x:v>416.5</x:v>
      </x:c>
      <x:c r="F10" s="21" t="str">
        <x:v>parent gross exposure less cumulative stage exposure</x:v>
      </x:c>
    </x:row>
    <x:row r="11">
      <x:c r="A11" s="21" t="str">
        <x:v>Release-aware completion</x:v>
      </x:c>
      <x:c r="B11" s="21" t="n">
        <x:v>99</x:v>
      </x:c>
      <x:c r="C11" s="21" t="str">
        <x:v>month</x:v>
      </x:c>
      <x:c r="D11" s="21" t="str"/>
      <x:c r="E11" s="21" t="str"/>
      <x:c r="F11" s="21" t="str">
        <x:v>90 + 9 months</x:v>
      </x:c>
    </x:row>
    <x:row r="12">
      <x:c r="A12" s="21" t="str">
        <x:v>Sequential completion</x:v>
      </x:c>
      <x:c r="B12" s="21" t="n">
        <x:v>123</x:v>
      </x:c>
      <x:c r="C12" s="21" t="str">
        <x:v>month</x:v>
      </x:c>
      <x:c r="D12" s="21" t="str"/>
      <x:c r="E12" s="21" t="str"/>
      <x:c r="F12" s="21" t="str">
        <x:v>114 + 9 months</x:v>
      </x:c>
    </x:row>
    <x:row r="13">
      <x:c r="A13" s="21" t="str">
        <x:v>Conditional preparation difference</x:v>
      </x:c>
      <x:c r="B13" s="21" t="n">
        <x:v>24</x:v>
      </x:c>
      <x:c r="C13" s="21" t="str">
        <x:v>months</x:v>
      </x:c>
      <x:c r="D13" s="21" t="str"/>
      <x:c r="E13" s="21" t="str"/>
      <x:c r="F13" s="21" t="str">
        <x:v>not evidence authority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5" hidden="0" customWidth="1"/>
    <x:col min="3" max="3" width="17" hidden="0" customWidth="1"/>
    <x:col min="4" max="4" width="57" hidden="0" customWidth="1"/>
    <x:col min="5" max="5" width="15" hidden="0" customWidth="1"/>
  </x:cols>
  <x:sheetData>
    <x:row r="1" ht="28" customHeight="1">
      <x:c r="A1" s="17" t="str">
        <x:v>Twelve QE-03 technology programs</x:v>
      </x:c>
      <x:c r="B1" s="17"/>
      <x:c r="C1" s="17"/>
      <x:c r="D1" s="17"/>
      <x:c r="E1" s="17"/>
    </x:row>
    <x:row r="2" ht="34" customHeight="1">
      <x:c r="A2" s="18" t="str">
        <x:v>The public mission creates capabilities not assumed to exist in deployable form.</x:v>
      </x:c>
      <x:c r="B2" s="18"/>
      <x:c r="C2" s="18"/>
      <x:c r="D2" s="18"/>
      <x:c r="E2" s="18"/>
    </x:row>
    <x:row r="3">
      <x:c r="A3" s="19"/>
      <x:c r="B3" s="19"/>
      <x:c r="C3" s="19"/>
      <x:c r="D3" s="19"/>
      <x:c r="E3" s="19"/>
    </x:row>
    <x:row r="4">
      <x:c r="A4" s="20" t="str">
        <x:v>Program</x:v>
      </x:c>
      <x:c r="B4" s="20" t="str">
        <x:v>Technology</x:v>
      </x:c>
      <x:c r="C4" s="20" t="str">
        <x:v>USD M</x:v>
      </x:c>
      <x:c r="D4" s="20" t="str">
        <x:v>Exit object</x:v>
      </x:c>
      <x:c r="E4" s="20" t="str">
        <x:v>State</x:v>
      </x:c>
    </x:row>
    <x:row r="5">
      <x:c r="A5" s="21" t="str">
        <x:v>RBC-T01</x:v>
      </x:c>
      <x:c r="B5" s="21" t="str">
        <x:v>shaped low-volume source metering</x:v>
      </x:c>
      <x:c r="C5" s="21" t="n">
        <x:v>14</x:v>
      </x:c>
      <x:c r="D5" s="21" t="str">
        <x:v>registered rate and terminal state</x:v>
      </x:c>
      <x:c r="E5" s="21" t="str">
        <x:v>OPEN</x:v>
      </x:c>
    </x:row>
    <x:row r="6">
      <x:c r="A6" s="21" t="str">
        <x:v>RBC-T02</x:v>
      </x:c>
      <x:c r="B6" s="21" t="str">
        <x:v>distributed pressure-wave reconstruction</x:v>
      </x:c>
      <x:c r="C6" s="21" t="n">
        <x:v>12</x:v>
      </x:c>
      <x:c r="D6" s="21" t="str">
        <x:v>local transient field</x:v>
      </x:c>
      <x:c r="E6" s="21" t="str">
        <x:v>OPEN</x:v>
      </x:c>
    </x:row>
    <x:row r="7">
      <x:c r="A7" s="21" t="str">
        <x:v>RBC-T03</x:v>
      </x:c>
      <x:c r="B7" s="21" t="str">
        <x:v>passive surge-energy management</x:v>
      </x:c>
      <x:c r="C7" s="21" t="n">
        <x:v>12</x:v>
      </x:c>
      <x:c r="D7" s="21" t="str">
        <x:v>closure protection without network</x:v>
      </x:c>
      <x:c r="E7" s="21" t="str">
        <x:v>OPEN</x:v>
      </x:c>
    </x:row>
    <x:row r="8">
      <x:c r="A8" s="21" t="str">
        <x:v>RBC-T04</x:v>
      </x:c>
      <x:c r="B8" s="21" t="str">
        <x:v>dynamic hold-up tomography</x:v>
      </x:c>
      <x:c r="C8" s="21" t="n">
        <x:v>11</x:v>
      </x:c>
      <x:c r="D8" s="21" t="str">
        <x:v>distributed route inventory</x:v>
      </x:c>
      <x:c r="E8" s="21" t="str">
        <x:v>OPEN</x:v>
      </x:c>
    </x:row>
    <x:row r="9">
      <x:c r="A9" s="21" t="str">
        <x:v>RBC-T05</x:v>
      </x:c>
      <x:c r="B9" s="21" t="str">
        <x:v>self-surveying capture surface</x:v>
      </x:c>
      <x:c r="C9" s="21" t="n">
        <x:v>10</x:v>
      </x:c>
      <x:c r="D9" s="21" t="str">
        <x:v>area, depth, grade and boundary state</x:v>
      </x:c>
      <x:c r="E9" s="21" t="str">
        <x:v>OPEN</x:v>
      </x:c>
    </x:row>
    <x:row r="10">
      <x:c r="A10" s="21" t="str">
        <x:v>RBC-T06</x:v>
      </x:c>
      <x:c r="B10" s="21" t="str">
        <x:v>receiver free-volume metrology</x:v>
      </x:c>
      <x:c r="C10" s="21" t="n">
        <x:v>9</x:v>
      </x:c>
      <x:c r="D10" s="21" t="str">
        <x:v>usable capacity under density and heel</x:v>
      </x:c>
      <x:c r="E10" s="21" t="str">
        <x:v>OPEN</x:v>
      </x:c>
    </x:row>
    <x:row r="11">
      <x:c r="A11" s="21" t="str">
        <x:v>RBC-T07</x:v>
      </x:c>
      <x:c r="B11" s="21" t="str">
        <x:v>300 kg self-identifying source capsule</x:v>
      </x:c>
      <x:c r="C11" s="21" t="n">
        <x:v>9</x:v>
      </x:c>
      <x:c r="D11" s="21" t="str">
        <x:v>split, property, seal and issue state</x:v>
      </x:c>
      <x:c r="E11" s="21" t="str">
        <x:v>OPEN</x:v>
      </x:c>
    </x:row>
    <x:row r="12">
      <x:c r="A12" s="21" t="str">
        <x:v>RBC-T08</x:v>
      </x:c>
      <x:c r="B12" s="21" t="str">
        <x:v>autonomous residue and crevice search</x:v>
      </x:c>
      <x:c r="C12" s="21" t="n">
        <x:v>8</x:v>
      </x:c>
      <x:c r="D12" s="21" t="str">
        <x:v>delayed inventory map</x:v>
      </x:c>
      <x:c r="E12" s="21" t="str">
        <x:v>OPEN</x:v>
      </x:c>
    </x:row>
    <x:row r="13">
      <x:c r="A13" s="21" t="str">
        <x:v>RBC-T09</x:v>
      </x:c>
      <x:c r="B13" s="21" t="str">
        <x:v>robotic source recovery and cleanout</x:v>
      </x:c>
      <x:c r="C13" s="21" t="n">
        <x:v>7</x:v>
      </x:c>
      <x:c r="D13" s="21" t="str">
        <x:v>custody-preserving return</x:v>
      </x:c>
      <x:c r="E13" s="21" t="str">
        <x:v>OPEN</x:v>
      </x:c>
    </x:row>
    <x:row r="14">
      <x:c r="A14" s="21" t="str">
        <x:v>RBC-T10</x:v>
      </x:c>
      <x:c r="B14" s="21" t="str">
        <x:v>source-stable local evidence</x:v>
      </x:c>
      <x:c r="C14" s="21" t="n">
        <x:v>5</x:v>
      </x:c>
      <x:c r="D14" s="21" t="str">
        <x:v>decisive state through service loss</x:v>
      </x:c>
      <x:c r="E14" s="21" t="str">
        <x:v>OPEN</x:v>
      </x:c>
    </x:row>
    <x:row r="15">
      <x:c r="A15" s="21" t="str">
        <x:v>RBC-T11</x:v>
      </x:c>
      <x:c r="B15" s="21" t="str">
        <x:v>outside-origin hydraulic replay</x:v>
      </x:c>
      <x:c r="C15" s="21" t="n">
        <x:v>4</x:v>
      </x:c>
      <x:c r="D15" s="21" t="str">
        <x:v>independent closure and uncertainty</x:v>
      </x:c>
      <x:c r="E15" s="21" t="str">
        <x:v>OPEN</x:v>
      </x:c>
    </x:row>
    <x:row r="16">
      <x:c r="A16" s="21" t="str">
        <x:v>RBC-T12</x:v>
      </x:c>
      <x:c r="B16" s="21" t="str">
        <x:v>executable escalation safety case</x:v>
      </x:c>
      <x:c r="C16" s="21" t="n">
        <x:v>4</x:v>
      </x:c>
      <x:c r="D16" s="21" t="str">
        <x:v>scale vector and authority packet</x:v>
      </x:c>
      <x:c r="E16" s="21" t="str">
        <x:v>OPEN</x:v>
      </x:c>
    </x:row>
    <x:row r="17">
      <x:c r="A17" s="21" t="str">
        <x:v>TOTAL</x:v>
      </x:c>
      <x:c r="B17" s="21" t="str"/>
      <x:c r="C17" s="21" t="n">
        <x:f>SUM(C5:C16)</x:f>
        <x:v>105</x:v>
      </x:c>
      <x:c r="D17" s="21" t="str">
        <x:v>must equal USD 105M</x:v>
      </x:c>
      <x:c r="E17" s="21" t="str">
        <x:v>OPEN</x:v>
      </x:c>
    </x:row>
  </x:sheetData>
  <x:conditionalFormatting sqref="E5:E17">
    <x:cfRule type="containsText" dxfId="132" priority="1" operator="containsText" text="PASS"/>
    <x:cfRule type="containsText" dxfId="133" priority="2" operator="containsText" text="ACCEPTED"/>
    <x:cfRule type="containsText" dxfId="134" priority="3" operator="containsText" text="OPEN"/>
    <x:cfRule type="containsText" dxfId="135" priority="4" operator="containsText" text="BLOCKED"/>
    <x:cfRule type="containsText" dxfId="136" priority="5" operator="containsText" text="FAIL"/>
    <x:cfRule type="containsText" dxfId="137" priority="6" operator="containsText" text="STOP"/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2" hidden="0" customWidth="1"/>
    <x:col min="4" max="4" width="22" hidden="0" customWidth="1"/>
    <x:col min="5" max="5" width="24" hidden="0" customWidth="1"/>
    <x:col min="6" max="6" width="24" hidden="0" customWidth="1"/>
    <x:col min="7" max="7" width="15" hidden="0" customWidth="1"/>
    <x:col min="8" max="8" width="59" hidden="0" customWidth="1"/>
  </x:cols>
  <x:sheetData>
    <x:row r="1" ht="28" customHeight="1">
      <x:c r="A1" s="17" t="str">
        <x:v>One hundred forty-four executable cases</x:v>
      </x:c>
      <x:c r="B1" s="17"/>
      <x:c r="C1" s="17"/>
      <x:c r="D1" s="17"/>
      <x:c r="E1" s="17"/>
      <x:c r="F1" s="17"/>
      <x:c r="G1" s="17"/>
      <x:c r="H1" s="17"/>
    </x:row>
    <x:row r="2" ht="34" customHeight="1">
      <x:c r="A2" s="18" t="str">
        <x:v>Synthetic cases exercise physics, capacity and authority without filling physical observations.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Test</x:v>
      </x:c>
      <x:c r="B4" s="20" t="str">
        <x:v>Domain</x:v>
      </x:c>
      <x:c r="C4" s="20" t="str">
        <x:v>Input A</x:v>
      </x:c>
      <x:c r="D4" s="20" t="str">
        <x:v>Input B</x:v>
      </x:c>
      <x:c r="E4" s="20" t="str">
        <x:v>Calculated</x:v>
      </x:c>
      <x:c r="F4" s="20" t="str">
        <x:v>Expected</x:v>
      </x:c>
      <x:c r="G4" s="20" t="str">
        <x:v>Status</x:v>
      </x:c>
      <x:c r="H4" s="20" t="str">
        <x:v>Rule</x:v>
      </x:c>
    </x:row>
    <x:row r="5">
      <x:c r="A5" s="21" t="str">
        <x:v>XT-001</x:v>
      </x:c>
      <x:c r="B5" s="21" t="str">
        <x:v>surge boundary</x:v>
      </x:c>
      <x:c r="C5" s="21" t="n">
        <x:v>250</x:v>
      </x:c>
      <x:c r="D5" s="21" t="n">
        <x:v>120</x:v>
      </x:c>
      <x:c r="E5" s="21" t="str">
        <x:f>IF(D5&lt;=0,"FAIL",IF(Controls!B10*Controls!B18*((C5/Controls!B10/D5)/(PI()*Controls!B13^2/4))/1000000&lt;Controls!B21,"PASS","FAIL"))</x:f>
        <x:v>PASS</x:v>
      </x:c>
      <x:c r="F5" s="21" t="str">
        <x:v>PASS</x:v>
      </x:c>
      <x:c r="G5" s="21" t="str">
        <x:f>IF(E5=F5,"PASS","FAIL")</x:f>
        <x:v>PASS</x:v>
      </x:c>
      <x:c r="H5" s="21" t="str">
        <x:v>screen below 2 MPa</x:v>
      </x:c>
    </x:row>
    <x:row r="6">
      <x:c r="A6" s="21" t="str">
        <x:v>XT-002</x:v>
      </x:c>
      <x:c r="B6" s="21" t="str">
        <x:v>surge boundary</x:v>
      </x:c>
      <x:c r="C6" s="21" t="n">
        <x:v>250</x:v>
      </x:c>
      <x:c r="D6" s="21" t="n">
        <x:v>109.09</x:v>
      </x:c>
      <x:c r="E6" s="21" t="str">
        <x:f>IF(D6&lt;=0,"FAIL",IF(Controls!B10*Controls!B18*((C6/Controls!B10/D6)/(PI()*Controls!B13^2/4))/1000000&lt;Controls!B21,"PASS","FAIL"))</x:f>
        <x:v>PASS</x:v>
      </x:c>
      <x:c r="F6" s="21" t="str">
        <x:v>PASS</x:v>
      </x:c>
      <x:c r="G6" s="21" t="str">
        <x:f>IF(E6=F6,"PASS","FAIL")</x:f>
        <x:v>PASS</x:v>
      </x:c>
      <x:c r="H6" s="21" t="str">
        <x:v>screen below 2 MPa</x:v>
      </x:c>
    </x:row>
    <x:row r="7">
      <x:c r="A7" s="21" t="str">
        <x:v>XT-003</x:v>
      </x:c>
      <x:c r="B7" s="21" t="str">
        <x:v>surge boundary</x:v>
      </x:c>
      <x:c r="C7" s="21" t="n">
        <x:v>250</x:v>
      </x:c>
      <x:c r="D7" s="21" t="n">
        <x:v>90</x:v>
      </x:c>
      <x:c r="E7" s="21" t="str">
        <x:f>IF(D7&lt;=0,"FAIL",IF(Controls!B10*Controls!B18*((C7/Controls!B10/D7)/(PI()*Controls!B13^2/4))/1000000&lt;Controls!B21,"PASS","FAIL"))</x:f>
        <x:v>FAIL</x:v>
      </x:c>
      <x:c r="F7" s="21" t="str">
        <x:v>FAIL</x:v>
      </x:c>
      <x:c r="G7" s="21" t="str">
        <x:f>IF(E7=F7,"PASS","FAIL")</x:f>
        <x:v>PASS</x:v>
      </x:c>
      <x:c r="H7" s="21" t="str">
        <x:v>screen below 2 MPa</x:v>
      </x:c>
    </x:row>
    <x:row r="8">
      <x:c r="A8" s="21" t="str">
        <x:v>XT-004</x:v>
      </x:c>
      <x:c r="B8" s="21" t="str">
        <x:v>surge boundary</x:v>
      </x:c>
      <x:c r="C8" s="21" t="n">
        <x:v>100</x:v>
      </x:c>
      <x:c r="D8" s="21" t="n">
        <x:v>60</x:v>
      </x:c>
      <x:c r="E8" s="21" t="str">
        <x:f>IF(D8&lt;=0,"FAIL",IF(Controls!B10*Controls!B18*((C8/Controls!B10/D8)/(PI()*Controls!B13^2/4))/1000000&lt;Controls!B21,"PASS","FAIL"))</x:f>
        <x:v>PASS</x:v>
      </x:c>
      <x:c r="F8" s="21" t="str">
        <x:v>PASS</x:v>
      </x:c>
      <x:c r="G8" s="21" t="str">
        <x:f>IF(E8=F8,"PASS","FAIL")</x:f>
        <x:v>PASS</x:v>
      </x:c>
      <x:c r="H8" s="21" t="str">
        <x:v>screen below 2 MPa</x:v>
      </x:c>
    </x:row>
    <x:row r="9">
      <x:c r="A9" s="21" t="str">
        <x:v>XT-005</x:v>
      </x:c>
      <x:c r="B9" s="21" t="str">
        <x:v>surge boundary</x:v>
      </x:c>
      <x:c r="C9" s="21" t="n">
        <x:v>250</x:v>
      </x:c>
      <x:c r="D9" s="21" t="n">
        <x:v>180</x:v>
      </x:c>
      <x:c r="E9" s="21" t="str">
        <x:f>IF(D9&lt;=0,"FAIL",IF(Controls!B10*Controls!B18*((C9/Controls!B10/D9)/(PI()*Controls!B13^2/4))/1000000&lt;Controls!B21,"PASS","FAIL"))</x:f>
        <x:v>PASS</x:v>
      </x:c>
      <x:c r="F9" s="21" t="str">
        <x:v>PASS</x:v>
      </x:c>
      <x:c r="G9" s="21" t="str">
        <x:f>IF(E9=F9,"PASS","FAIL")</x:f>
        <x:v>PASS</x:v>
      </x:c>
      <x:c r="H9" s="21" t="str">
        <x:v>screen below 2 MPa</x:v>
      </x:c>
    </x:row>
    <x:row r="10">
      <x:c r="A10" s="21" t="str">
        <x:v>XT-006</x:v>
      </x:c>
      <x:c r="B10" s="21" t="str">
        <x:v>surge boundary</x:v>
      </x:c>
      <x:c r="C10" s="21" t="n">
        <x:v>305</x:v>
      </x:c>
      <x:c r="D10" s="21" t="n">
        <x:v>120</x:v>
      </x:c>
      <x:c r="E10" s="21" t="str">
        <x:f>IF(D10&lt;=0,"FAIL",IF(Controls!B10*Controls!B18*((C10/Controls!B10/D10)/(PI()*Controls!B13^2/4))/1000000&lt;Controls!B21,"PASS","FAIL"))</x:f>
        <x:v>FAIL</x:v>
      </x:c>
      <x:c r="F10" s="21" t="str">
        <x:v>FAIL</x:v>
      </x:c>
      <x:c r="G10" s="21" t="str">
        <x:f>IF(E10=F10,"PASS","FAIL")</x:f>
        <x:v>PASS</x:v>
      </x:c>
      <x:c r="H10" s="21" t="str">
        <x:v>screen below 2 MPa</x:v>
      </x:c>
    </x:row>
    <x:row r="11">
      <x:c r="A11" s="21" t="str">
        <x:v>XT-007</x:v>
      </x:c>
      <x:c r="B11" s="21" t="str">
        <x:v>surge boundary</x:v>
      </x:c>
      <x:c r="C11" s="21" t="n">
        <x:v>0</x:v>
      </x:c>
      <x:c r="D11" s="21" t="n">
        <x:v>120</x:v>
      </x:c>
      <x:c r="E11" s="21" t="str">
        <x:f>IF(D11&lt;=0,"FAIL",IF(Controls!B10*Controls!B18*((C11/Controls!B10/D11)/(PI()*Controls!B13^2/4))/1000000&lt;Controls!B21,"PASS","FAIL"))</x:f>
        <x:v>PASS</x:v>
      </x:c>
      <x:c r="F11" s="21" t="str">
        <x:v>PASS</x:v>
      </x:c>
      <x:c r="G11" s="21" t="str">
        <x:f>IF(E11=F11,"PASS","FAIL")</x:f>
        <x:v>PASS</x:v>
      </x:c>
      <x:c r="H11" s="21" t="str">
        <x:v>screen below 2 MPa</x:v>
      </x:c>
    </x:row>
    <x:row r="12">
      <x:c r="A12" s="21" t="str">
        <x:v>XT-008</x:v>
      </x:c>
      <x:c r="B12" s="21" t="str">
        <x:v>surge boundary</x:v>
      </x:c>
      <x:c r="C12" s="21" t="n">
        <x:v>250</x:v>
      </x:c>
      <x:c r="D12" s="21" t="n">
        <x:v>0</x:v>
      </x:c>
      <x:c r="E12" s="21" t="str">
        <x:f>IF(D12&lt;=0,"FAIL",IF(Controls!B10*Controls!B18*((C12/Controls!B10/D12)/(PI()*Controls!B13^2/4))/1000000&lt;Controls!B21,"PASS","FAIL"))</x:f>
        <x:v>FAIL</x:v>
      </x:c>
      <x:c r="F12" s="21" t="str">
        <x:v>FAIL</x:v>
      </x:c>
      <x:c r="G12" s="21" t="str">
        <x:f>IF(E12=F12,"PASS","FAIL")</x:f>
        <x:v>PASS</x:v>
      </x:c>
      <x:c r="H12" s="21" t="str">
        <x:v>screen below 2 MPa</x:v>
      </x:c>
    </x:row>
    <x:row r="13">
      <x:c r="A13" s="21" t="str">
        <x:v>XT-009</x:v>
      </x:c>
      <x:c r="B13" s="21" t="str">
        <x:v>surge boundary</x:v>
      </x:c>
      <x:c r="C13" s="21" t="n">
        <x:v>251</x:v>
      </x:c>
      <x:c r="D13" s="21" t="n">
        <x:v>120</x:v>
      </x:c>
      <x:c r="E13" s="21" t="str">
        <x:f>IF(D13&lt;=0,"FAIL",IF(Controls!B10*Controls!B18*((C13/Controls!B10/D13)/(PI()*Controls!B13^2/4))/1000000&lt;Controls!B21,"PASS","FAIL"))</x:f>
        <x:v>PASS</x:v>
      </x:c>
      <x:c r="F13" s="21" t="str">
        <x:v>PASS</x:v>
      </x:c>
      <x:c r="G13" s="21" t="str">
        <x:f>IF(E13=F13,"PASS","FAIL")</x:f>
        <x:v>PASS</x:v>
      </x:c>
      <x:c r="H13" s="21" t="str">
        <x:v>screen below 2 MPa</x:v>
      </x:c>
    </x:row>
    <x:row r="14">
      <x:c r="A14" s="21" t="str">
        <x:v>XT-010</x:v>
      </x:c>
      <x:c r="B14" s="21" t="str">
        <x:v>surge boundary</x:v>
      </x:c>
      <x:c r="C14" s="21" t="n">
        <x:v>260</x:v>
      </x:c>
      <x:c r="D14" s="21" t="n">
        <x:v>120</x:v>
      </x:c>
      <x:c r="E14" s="21" t="str">
        <x:f>IF(D14&lt;=0,"FAIL",IF(Controls!B10*Controls!B18*((C14/Controls!B10/D14)/(PI()*Controls!B13^2/4))/1000000&lt;Controls!B21,"PASS","FAIL"))</x:f>
        <x:v>PASS</x:v>
      </x:c>
      <x:c r="F14" s="21" t="str">
        <x:v>PASS</x:v>
      </x:c>
      <x:c r="G14" s="21" t="str">
        <x:f>IF(E14=F14,"PASS","FAIL")</x:f>
        <x:v>PASS</x:v>
      </x:c>
      <x:c r="H14" s="21" t="str">
        <x:v>screen below 2 MPa</x:v>
      </x:c>
    </x:row>
    <x:row r="15">
      <x:c r="A15" s="21" t="str">
        <x:v>XT-011</x:v>
      </x:c>
      <x:c r="B15" s="21" t="str">
        <x:v>surge boundary</x:v>
      </x:c>
      <x:c r="C15" s="21" t="n">
        <x:v>275</x:v>
      </x:c>
      <x:c r="D15" s="21" t="n">
        <x:v>120</x:v>
      </x:c>
      <x:c r="E15" s="21" t="str">
        <x:f>IF(D15&lt;=0,"FAIL",IF(Controls!B10*Controls!B18*((C15/Controls!B10/D15)/(PI()*Controls!B13^2/4))/1000000&lt;Controls!B21,"PASS","FAIL"))</x:f>
        <x:v>PASS</x:v>
      </x:c>
      <x:c r="F15" s="21" t="str">
        <x:v>PASS</x:v>
      </x:c>
      <x:c r="G15" s="21" t="str">
        <x:f>IF(E15=F15,"PASS","FAIL")</x:f>
        <x:v>PASS</x:v>
      </x:c>
      <x:c r="H15" s="21" t="str">
        <x:v>screen below 2 MPa</x:v>
      </x:c>
    </x:row>
    <x:row r="16">
      <x:c r="A16" s="21" t="str">
        <x:v>XT-012</x:v>
      </x:c>
      <x:c r="B16" s="21" t="str">
        <x:v>surge boundary</x:v>
      </x:c>
      <x:c r="C16" s="21" t="n">
        <x:v>280</x:v>
      </x:c>
      <x:c r="D16" s="21" t="n">
        <x:v>120</x:v>
      </x:c>
      <x:c r="E16" s="21" t="str">
        <x:f>IF(D16&lt;=0,"FAIL",IF(Controls!B10*Controls!B18*((C16/Controls!B10/D16)/(PI()*Controls!B13^2/4))/1000000&lt;Controls!B21,"PASS","FAIL"))</x:f>
        <x:v>PASS</x:v>
      </x:c>
      <x:c r="F16" s="21" t="str">
        <x:v>PASS</x:v>
      </x:c>
      <x:c r="G16" s="21" t="str">
        <x:f>IF(E16=F16,"PASS","FAIL")</x:f>
        <x:v>PASS</x:v>
      </x:c>
      <x:c r="H16" s="21" t="str">
        <x:v>screen below 2 MPa</x:v>
      </x:c>
    </x:row>
    <x:row r="17">
      <x:c r="A17" s="21" t="str">
        <x:v>XT-013</x:v>
      </x:c>
      <x:c r="B17" s="21" t="str">
        <x:v>surge boundary</x:v>
      </x:c>
      <x:c r="C17" s="21" t="n">
        <x:v>250</x:v>
      </x:c>
      <x:c r="D17" s="21" t="n">
        <x:v>118</x:v>
      </x:c>
      <x:c r="E17" s="21" t="str">
        <x:f>IF(D17&lt;=0,"FAIL",IF(Controls!B10*Controls!B18*((C17/Controls!B10/D17)/(PI()*Controls!B13^2/4))/1000000&lt;Controls!B21,"PASS","FAIL"))</x:f>
        <x:v>PASS</x:v>
      </x:c>
      <x:c r="F17" s="21" t="str">
        <x:v>PASS</x:v>
      </x:c>
      <x:c r="G17" s="21" t="str">
        <x:f>IF(E17=F17,"PASS","FAIL")</x:f>
        <x:v>PASS</x:v>
      </x:c>
      <x:c r="H17" s="21" t="str">
        <x:v>screen below 2 MPa</x:v>
      </x:c>
    </x:row>
    <x:row r="18">
      <x:c r="A18" s="21" t="str">
        <x:v>XT-014</x:v>
      </x:c>
      <x:c r="B18" s="21" t="str">
        <x:v>surge boundary</x:v>
      </x:c>
      <x:c r="C18" s="21" t="n">
        <x:v>250</x:v>
      </x:c>
      <x:c r="D18" s="21" t="n">
        <x:v>115</x:v>
      </x:c>
      <x:c r="E18" s="21" t="str">
        <x:f>IF(D18&lt;=0,"FAIL",IF(Controls!B10*Controls!B18*((C18/Controls!B10/D18)/(PI()*Controls!B13^2/4))/1000000&lt;Controls!B21,"PASS","FAIL"))</x:f>
        <x:v>PASS</x:v>
      </x:c>
      <x:c r="F18" s="21" t="str">
        <x:v>PASS</x:v>
      </x:c>
      <x:c r="G18" s="21" t="str">
        <x:f>IF(E18=F18,"PASS","FAIL")</x:f>
        <x:v>PASS</x:v>
      </x:c>
      <x:c r="H18" s="21" t="str">
        <x:v>screen below 2 MPa</x:v>
      </x:c>
    </x:row>
    <x:row r="19">
      <x:c r="A19" s="21" t="str">
        <x:v>XT-015</x:v>
      </x:c>
      <x:c r="B19" s="21" t="str">
        <x:v>surge boundary</x:v>
      </x:c>
      <x:c r="C19" s="21" t="n">
        <x:v>250</x:v>
      </x:c>
      <x:c r="D19" s="21" t="n">
        <x:v>100</x:v>
      </x:c>
      <x:c r="E19" s="21" t="str">
        <x:f>IF(D19&lt;=0,"FAIL",IF(Controls!B10*Controls!B18*((C19/Controls!B10/D19)/(PI()*Controls!B13^2/4))/1000000&lt;Controls!B21,"PASS","FAIL"))</x:f>
        <x:v>PASS</x:v>
      </x:c>
      <x:c r="F19" s="21" t="str">
        <x:v>PASS</x:v>
      </x:c>
      <x:c r="G19" s="21" t="str">
        <x:f>IF(E19=F19,"PASS","FAIL")</x:f>
        <x:v>PASS</x:v>
      </x:c>
      <x:c r="H19" s="21" t="str">
        <x:v>screen below 2 MPa</x:v>
      </x:c>
    </x:row>
    <x:row r="20">
      <x:c r="A20" s="21" t="str">
        <x:v>XT-016</x:v>
      </x:c>
      <x:c r="B20" s="21" t="str">
        <x:v>surge boundary</x:v>
      </x:c>
      <x:c r="C20" s="21" t="n">
        <x:v>500</x:v>
      </x:c>
      <x:c r="D20" s="21" t="n">
        <x:v>120</x:v>
      </x:c>
      <x:c r="E20" s="21" t="str">
        <x:f>IF(D20&lt;=0,"FAIL",IF(Controls!B10*Controls!B18*((C20/Controls!B10/D20)/(PI()*Controls!B13^2/4))/1000000&lt;Controls!B21,"PASS","FAIL"))</x:f>
        <x:v>FAIL</x:v>
      </x:c>
      <x:c r="F20" s="21" t="str">
        <x:v>FAIL</x:v>
      </x:c>
      <x:c r="G20" s="21" t="str">
        <x:f>IF(E20=F20,"PASS","FAIL")</x:f>
        <x:v>PASS</x:v>
      </x:c>
      <x:c r="H20" s="21" t="str">
        <x:v>screen below 2 MPa</x:v>
      </x:c>
    </x:row>
    <x:row r="21">
      <x:c r="A21" s="21" t="str">
        <x:v>XT-017</x:v>
      </x:c>
      <x:c r="B21" s="21" t="str">
        <x:v>reserve assurance</x:v>
      </x:c>
      <x:c r="C21" s="21" t="n">
        <x:v>0.6</x:v>
      </x:c>
      <x:c r="D21" s="21" t="n">
        <x:v>5</x:v>
      </x:c>
      <x:c r="E21" s="21" t="str">
        <x:f>IF((C21^5*(1+IF(D21&gt;=1,5*(1-C21),0)+IF(D21&gt;=2,15*(1-C21)^2,0)+IF(D21&gt;=3,35*(1-C21)^3,0)+IF(D21&gt;=4,70*(1-C21)^4,0)+IF(D21&gt;=5,126*(1-C21)^5,0)+IF(D21&gt;=6,210*(1-C21)^6,0)+IF(D21&gt;=7,330*(1-C21)^7,0)+IF(D21&gt;=8,495*(1-C21)^8,0)))*(C21^6*(1+IF(D21&gt;=1,6*(1-C21),0)+IF(D21&gt;=2,21*(1-C21)^2,0)+IF(D21&gt;=3,56*(1-C21)^3,0)+IF(D21&gt;=4,126*(1-C21)^4,0)+IF(D21&gt;=5,252*(1-C21)^5,0)+IF(D21&gt;=6,462*(1-C21)^6,0)+IF(D21&gt;=7,792*(1-C21)^7,0)+IF(D21&gt;=8,1287*(1-C21)^8,0)))&gt;=0.95,"PASS","FAIL")</x:f>
        <x:v>FAIL</x:v>
      </x:c>
      <x:c r="F21" s="21" t="str">
        <x:v>FAIL</x:v>
      </x:c>
      <x:c r="G21" s="21" t="str">
        <x:f>IF(E21=F21,"PASS","FAIL")</x:f>
        <x:v>PASS</x:v>
      </x:c>
      <x:c r="H21" s="21" t="str">
        <x:v>conditional completion at least 0.95</x:v>
      </x:c>
    </x:row>
    <x:row r="22">
      <x:c r="A22" s="21" t="str">
        <x:v>XT-018</x:v>
      </x:c>
      <x:c r="B22" s="21" t="str">
        <x:v>reserve assurance</x:v>
      </x:c>
      <x:c r="C22" s="21" t="n">
        <x:v>0.6</x:v>
      </x:c>
      <x:c r="D22" s="21" t="n">
        <x:v>6</x:v>
      </x:c>
      <x:c r="E22" s="21" t="str">
        <x:f>IF((C22^5*(1+IF(D22&gt;=1,5*(1-C22),0)+IF(D22&gt;=2,15*(1-C22)^2,0)+IF(D22&gt;=3,35*(1-C22)^3,0)+IF(D22&gt;=4,70*(1-C22)^4,0)+IF(D22&gt;=5,126*(1-C22)^5,0)+IF(D22&gt;=6,210*(1-C22)^6,0)+IF(D22&gt;=7,330*(1-C22)^7,0)+IF(D22&gt;=8,495*(1-C22)^8,0)))*(C22^6*(1+IF(D22&gt;=1,6*(1-C22),0)+IF(D22&gt;=2,21*(1-C22)^2,0)+IF(D22&gt;=3,56*(1-C22)^3,0)+IF(D22&gt;=4,126*(1-C22)^4,0)+IF(D22&gt;=5,252*(1-C22)^5,0)+IF(D22&gt;=6,462*(1-C22)^6,0)+IF(D22&gt;=7,792*(1-C22)^7,0)+IF(D22&gt;=8,1287*(1-C22)^8,0)))&gt;=0.95,"PASS","FAIL")</x:f>
        <x:v>FAIL</x:v>
      </x:c>
      <x:c r="F22" s="21" t="str">
        <x:v>FAIL</x:v>
      </x:c>
      <x:c r="G22" s="21" t="str">
        <x:f>IF(E22=F22,"PASS","FAIL")</x:f>
        <x:v>PASS</x:v>
      </x:c>
      <x:c r="H22" s="21" t="str">
        <x:v>conditional completion at least 0.95</x:v>
      </x:c>
    </x:row>
    <x:row r="23">
      <x:c r="A23" s="21" t="str">
        <x:v>XT-019</x:v>
      </x:c>
      <x:c r="B23" s="21" t="str">
        <x:v>reserve assurance</x:v>
      </x:c>
      <x:c r="C23" s="21" t="n">
        <x:v>0.6</x:v>
      </x:c>
      <x:c r="D23" s="21" t="n">
        <x:v>7</x:v>
      </x:c>
      <x:c r="E23" s="21" t="str">
        <x:f>IF((C23^5*(1+IF(D23&gt;=1,5*(1-C23),0)+IF(D23&gt;=2,15*(1-C23)^2,0)+IF(D23&gt;=3,35*(1-C23)^3,0)+IF(D23&gt;=4,70*(1-C23)^4,0)+IF(D23&gt;=5,126*(1-C23)^5,0)+IF(D23&gt;=6,210*(1-C23)^6,0)+IF(D23&gt;=7,330*(1-C23)^7,0)+IF(D23&gt;=8,495*(1-C23)^8,0)))*(C23^6*(1+IF(D23&gt;=1,6*(1-C23),0)+IF(D23&gt;=2,21*(1-C23)^2,0)+IF(D23&gt;=3,56*(1-C23)^3,0)+IF(D23&gt;=4,126*(1-C23)^4,0)+IF(D23&gt;=5,252*(1-C23)^5,0)+IF(D23&gt;=6,462*(1-C23)^6,0)+IF(D23&gt;=7,792*(1-C23)^7,0)+IF(D23&gt;=8,1287*(1-C23)^8,0)))&gt;=0.95,"PASS","FAIL")</x:f>
        <x:v>FAIL</x:v>
      </x:c>
      <x:c r="F23" s="21" t="str">
        <x:v>FAIL</x:v>
      </x:c>
      <x:c r="G23" s="21" t="str">
        <x:f>IF(E23=F23,"PASS","FAIL")</x:f>
        <x:v>PASS</x:v>
      </x:c>
      <x:c r="H23" s="21" t="str">
        <x:v>conditional completion at least 0.95</x:v>
      </x:c>
    </x:row>
    <x:row r="24">
      <x:c r="A24" s="21" t="str">
        <x:v>XT-020</x:v>
      </x:c>
      <x:c r="B24" s="21" t="str">
        <x:v>reserve assurance</x:v>
      </x:c>
      <x:c r="C24" s="21" t="n">
        <x:v>0.6</x:v>
      </x:c>
      <x:c r="D24" s="21" t="n">
        <x:v>8</x:v>
      </x:c>
      <x:c r="E24" s="21" t="str">
        <x:f>IF((C24^5*(1+IF(D24&gt;=1,5*(1-C24),0)+IF(D24&gt;=2,15*(1-C24)^2,0)+IF(D24&gt;=3,35*(1-C24)^3,0)+IF(D24&gt;=4,70*(1-C24)^4,0)+IF(D24&gt;=5,126*(1-C24)^5,0)+IF(D24&gt;=6,210*(1-C24)^6,0)+IF(D24&gt;=7,330*(1-C24)^7,0)+IF(D24&gt;=8,495*(1-C24)^8,0)))*(C24^6*(1+IF(D24&gt;=1,6*(1-C24),0)+IF(D24&gt;=2,21*(1-C24)^2,0)+IF(D24&gt;=3,56*(1-C24)^3,0)+IF(D24&gt;=4,126*(1-C24)^4,0)+IF(D24&gt;=5,252*(1-C24)^5,0)+IF(D24&gt;=6,462*(1-C24)^6,0)+IF(D24&gt;=7,792*(1-C24)^7,0)+IF(D24&gt;=8,1287*(1-C24)^8,0)))&gt;=0.95,"PASS","FAIL")</x:f>
        <x:v>FAIL</x:v>
      </x:c>
      <x:c r="F24" s="21" t="str">
        <x:v>FAIL</x:v>
      </x:c>
      <x:c r="G24" s="21" t="str">
        <x:f>IF(E24=F24,"PASS","FAIL")</x:f>
        <x:v>PASS</x:v>
      </x:c>
      <x:c r="H24" s="21" t="str">
        <x:v>conditional completion at least 0.95</x:v>
      </x:c>
    </x:row>
    <x:row r="25">
      <x:c r="A25" s="21" t="str">
        <x:v>XT-021</x:v>
      </x:c>
      <x:c r="B25" s="21" t="str">
        <x:v>reserve assurance</x:v>
      </x:c>
      <x:c r="C25" s="21" t="n">
        <x:v>0.65</x:v>
      </x:c>
      <x:c r="D25" s="21" t="n">
        <x:v>5</x:v>
      </x:c>
      <x:c r="E25" s="21" t="str">
        <x:f>IF((C25^5*(1+IF(D25&gt;=1,5*(1-C25),0)+IF(D25&gt;=2,15*(1-C25)^2,0)+IF(D25&gt;=3,35*(1-C25)^3,0)+IF(D25&gt;=4,70*(1-C25)^4,0)+IF(D25&gt;=5,126*(1-C25)^5,0)+IF(D25&gt;=6,210*(1-C25)^6,0)+IF(D25&gt;=7,330*(1-C25)^7,0)+IF(D25&gt;=8,495*(1-C25)^8,0)))*(C25^6*(1+IF(D25&gt;=1,6*(1-C25),0)+IF(D25&gt;=2,21*(1-C25)^2,0)+IF(D25&gt;=3,56*(1-C25)^3,0)+IF(D25&gt;=4,126*(1-C25)^4,0)+IF(D25&gt;=5,252*(1-C25)^5,0)+IF(D25&gt;=6,462*(1-C25)^6,0)+IF(D25&gt;=7,792*(1-C25)^7,0)+IF(D25&gt;=8,1287*(1-C25)^8,0)))&gt;=0.95,"PASS","FAIL")</x:f>
        <x:v>FAIL</x:v>
      </x:c>
      <x:c r="F25" s="21" t="str">
        <x:v>FAIL</x:v>
      </x:c>
      <x:c r="G25" s="21" t="str">
        <x:f>IF(E25=F25,"PASS","FAIL")</x:f>
        <x:v>PASS</x:v>
      </x:c>
      <x:c r="H25" s="21" t="str">
        <x:v>conditional completion at least 0.95</x:v>
      </x:c>
    </x:row>
    <x:row r="26">
      <x:c r="A26" s="21" t="str">
        <x:v>XT-022</x:v>
      </x:c>
      <x:c r="B26" s="21" t="str">
        <x:v>reserve assurance</x:v>
      </x:c>
      <x:c r="C26" s="21" t="n">
        <x:v>0.65</x:v>
      </x:c>
      <x:c r="D26" s="21" t="n">
        <x:v>6</x:v>
      </x:c>
      <x:c r="E26" s="21" t="str">
        <x:f>IF((C26^5*(1+IF(D26&gt;=1,5*(1-C26),0)+IF(D26&gt;=2,15*(1-C26)^2,0)+IF(D26&gt;=3,35*(1-C26)^3,0)+IF(D26&gt;=4,70*(1-C26)^4,0)+IF(D26&gt;=5,126*(1-C26)^5,0)+IF(D26&gt;=6,210*(1-C26)^6,0)+IF(D26&gt;=7,330*(1-C26)^7,0)+IF(D26&gt;=8,495*(1-C26)^8,0)))*(C26^6*(1+IF(D26&gt;=1,6*(1-C26),0)+IF(D26&gt;=2,21*(1-C26)^2,0)+IF(D26&gt;=3,56*(1-C26)^3,0)+IF(D26&gt;=4,126*(1-C26)^4,0)+IF(D26&gt;=5,252*(1-C26)^5,0)+IF(D26&gt;=6,462*(1-C26)^6,0)+IF(D26&gt;=7,792*(1-C26)^7,0)+IF(D26&gt;=8,1287*(1-C26)^8,0)))&gt;=0.95,"PASS","FAIL")</x:f>
        <x:v>FAIL</x:v>
      </x:c>
      <x:c r="F26" s="21" t="str">
        <x:v>FAIL</x:v>
      </x:c>
      <x:c r="G26" s="21" t="str">
        <x:f>IF(E26=F26,"PASS","FAIL")</x:f>
        <x:v>PASS</x:v>
      </x:c>
      <x:c r="H26" s="21" t="str">
        <x:v>conditional completion at least 0.95</x:v>
      </x:c>
    </x:row>
    <x:row r="27">
      <x:c r="A27" s="21" t="str">
        <x:v>XT-023</x:v>
      </x:c>
      <x:c r="B27" s="21" t="str">
        <x:v>reserve assurance</x:v>
      </x:c>
      <x:c r="C27" s="21" t="n">
        <x:v>0.65</x:v>
      </x:c>
      <x:c r="D27" s="21" t="n">
        <x:v>7</x:v>
      </x:c>
      <x:c r="E27" s="21" t="str">
        <x:f>IF((C27^5*(1+IF(D27&gt;=1,5*(1-C27),0)+IF(D27&gt;=2,15*(1-C27)^2,0)+IF(D27&gt;=3,35*(1-C27)^3,0)+IF(D27&gt;=4,70*(1-C27)^4,0)+IF(D27&gt;=5,126*(1-C27)^5,0)+IF(D27&gt;=6,210*(1-C27)^6,0)+IF(D27&gt;=7,330*(1-C27)^7,0)+IF(D27&gt;=8,495*(1-C27)^8,0)))*(C27^6*(1+IF(D27&gt;=1,6*(1-C27),0)+IF(D27&gt;=2,21*(1-C27)^2,0)+IF(D27&gt;=3,56*(1-C27)^3,0)+IF(D27&gt;=4,126*(1-C27)^4,0)+IF(D27&gt;=5,252*(1-C27)^5,0)+IF(D27&gt;=6,462*(1-C27)^6,0)+IF(D27&gt;=7,792*(1-C27)^7,0)+IF(D27&gt;=8,1287*(1-C27)^8,0)))&gt;=0.95,"PASS","FAIL")</x:f>
        <x:v>FAIL</x:v>
      </x:c>
      <x:c r="F27" s="21" t="str">
        <x:v>FAIL</x:v>
      </x:c>
      <x:c r="G27" s="21" t="str">
        <x:f>IF(E27=F27,"PASS","FAIL")</x:f>
        <x:v>PASS</x:v>
      </x:c>
      <x:c r="H27" s="21" t="str">
        <x:v>conditional completion at least 0.95</x:v>
      </x:c>
    </x:row>
    <x:row r="28">
      <x:c r="A28" s="21" t="str">
        <x:v>XT-024</x:v>
      </x:c>
      <x:c r="B28" s="21" t="str">
        <x:v>reserve assurance</x:v>
      </x:c>
      <x:c r="C28" s="21" t="n">
        <x:v>0.65</x:v>
      </x:c>
      <x:c r="D28" s="21" t="n">
        <x:v>8</x:v>
      </x:c>
      <x:c r="E28" s="21" t="str">
        <x:f>IF((C28^5*(1+IF(D28&gt;=1,5*(1-C28),0)+IF(D28&gt;=2,15*(1-C28)^2,0)+IF(D28&gt;=3,35*(1-C28)^3,0)+IF(D28&gt;=4,70*(1-C28)^4,0)+IF(D28&gt;=5,126*(1-C28)^5,0)+IF(D28&gt;=6,210*(1-C28)^6,0)+IF(D28&gt;=7,330*(1-C28)^7,0)+IF(D28&gt;=8,495*(1-C28)^8,0)))*(C28^6*(1+IF(D28&gt;=1,6*(1-C28),0)+IF(D28&gt;=2,21*(1-C28)^2,0)+IF(D28&gt;=3,56*(1-C28)^3,0)+IF(D28&gt;=4,126*(1-C28)^4,0)+IF(D28&gt;=5,252*(1-C28)^5,0)+IF(D28&gt;=6,462*(1-C28)^6,0)+IF(D28&gt;=7,792*(1-C28)^7,0)+IF(D28&gt;=8,1287*(1-C28)^8,0)))&gt;=0.95,"PASS","FAIL")</x:f>
        <x:v>PASS</x:v>
      </x:c>
      <x:c r="F28" s="21" t="str">
        <x:v>PASS</x:v>
      </x:c>
      <x:c r="G28" s="21" t="str">
        <x:f>IF(E28=F28,"PASS","FAIL")</x:f>
        <x:v>PASS</x:v>
      </x:c>
      <x:c r="H28" s="21" t="str">
        <x:v>conditional completion at least 0.95</x:v>
      </x:c>
    </x:row>
    <x:row r="29">
      <x:c r="A29" s="21" t="str">
        <x:v>XT-025</x:v>
      </x:c>
      <x:c r="B29" s="21" t="str">
        <x:v>reserve assurance</x:v>
      </x:c>
      <x:c r="C29" s="21" t="n">
        <x:v>0.7</x:v>
      </x:c>
      <x:c r="D29" s="21" t="n">
        <x:v>5</x:v>
      </x:c>
      <x:c r="E29" s="21" t="str">
        <x:f>IF((C29^5*(1+IF(D29&gt;=1,5*(1-C29),0)+IF(D29&gt;=2,15*(1-C29)^2,0)+IF(D29&gt;=3,35*(1-C29)^3,0)+IF(D29&gt;=4,70*(1-C29)^4,0)+IF(D29&gt;=5,126*(1-C29)^5,0)+IF(D29&gt;=6,210*(1-C29)^6,0)+IF(D29&gt;=7,330*(1-C29)^7,0)+IF(D29&gt;=8,495*(1-C29)^8,0)))*(C29^6*(1+IF(D29&gt;=1,6*(1-C29),0)+IF(D29&gt;=2,21*(1-C29)^2,0)+IF(D29&gt;=3,56*(1-C29)^3,0)+IF(D29&gt;=4,126*(1-C29)^4,0)+IF(D29&gt;=5,252*(1-C29)^5,0)+IF(D29&gt;=6,462*(1-C29)^6,0)+IF(D29&gt;=7,792*(1-C29)^7,0)+IF(D29&gt;=8,1287*(1-C29)^8,0)))&gt;=0.95,"PASS","FAIL")</x:f>
        <x:v>FAIL</x:v>
      </x:c>
      <x:c r="F29" s="21" t="str">
        <x:v>FAIL</x:v>
      </x:c>
      <x:c r="G29" s="21" t="str">
        <x:f>IF(E29=F29,"PASS","FAIL")</x:f>
        <x:v>PASS</x:v>
      </x:c>
      <x:c r="H29" s="21" t="str">
        <x:v>conditional completion at least 0.95</x:v>
      </x:c>
    </x:row>
    <x:row r="30">
      <x:c r="A30" s="21" t="str">
        <x:v>XT-026</x:v>
      </x:c>
      <x:c r="B30" s="21" t="str">
        <x:v>reserve assurance</x:v>
      </x:c>
      <x:c r="C30" s="21" t="n">
        <x:v>0.7</x:v>
      </x:c>
      <x:c r="D30" s="21" t="n">
        <x:v>6</x:v>
      </x:c>
      <x:c r="E30" s="21" t="str">
        <x:f>IF((C30^5*(1+IF(D30&gt;=1,5*(1-C30),0)+IF(D30&gt;=2,15*(1-C30)^2,0)+IF(D30&gt;=3,35*(1-C30)^3,0)+IF(D30&gt;=4,70*(1-C30)^4,0)+IF(D30&gt;=5,126*(1-C30)^5,0)+IF(D30&gt;=6,210*(1-C30)^6,0)+IF(D30&gt;=7,330*(1-C30)^7,0)+IF(D30&gt;=8,495*(1-C30)^8,0)))*(C30^6*(1+IF(D30&gt;=1,6*(1-C30),0)+IF(D30&gt;=2,21*(1-C30)^2,0)+IF(D30&gt;=3,56*(1-C30)^3,0)+IF(D30&gt;=4,126*(1-C30)^4,0)+IF(D30&gt;=5,252*(1-C30)^5,0)+IF(D30&gt;=6,462*(1-C30)^6,0)+IF(D30&gt;=7,792*(1-C30)^7,0)+IF(D30&gt;=8,1287*(1-C30)^8,0)))&gt;=0.95,"PASS","FAIL")</x:f>
        <x:v>FAIL</x:v>
      </x:c>
      <x:c r="F30" s="21" t="str">
        <x:v>FAIL</x:v>
      </x:c>
      <x:c r="G30" s="21" t="str">
        <x:f>IF(E30=F30,"PASS","FAIL")</x:f>
        <x:v>PASS</x:v>
      </x:c>
      <x:c r="H30" s="21" t="str">
        <x:v>conditional completion at least 0.95</x:v>
      </x:c>
    </x:row>
    <x:row r="31">
      <x:c r="A31" s="21" t="str">
        <x:v>XT-027</x:v>
      </x:c>
      <x:c r="B31" s="21" t="str">
        <x:v>reserve assurance</x:v>
      </x:c>
      <x:c r="C31" s="21" t="n">
        <x:v>0.7</x:v>
      </x:c>
      <x:c r="D31" s="21" t="n">
        <x:v>7</x:v>
      </x:c>
      <x:c r="E31" s="21" t="str">
        <x:f>IF((C31^5*(1+IF(D31&gt;=1,5*(1-C31),0)+IF(D31&gt;=2,15*(1-C31)^2,0)+IF(D31&gt;=3,35*(1-C31)^3,0)+IF(D31&gt;=4,70*(1-C31)^4,0)+IF(D31&gt;=5,126*(1-C31)^5,0)+IF(D31&gt;=6,210*(1-C31)^6,0)+IF(D31&gt;=7,330*(1-C31)^7,0)+IF(D31&gt;=8,495*(1-C31)^8,0)))*(C31^6*(1+IF(D31&gt;=1,6*(1-C31),0)+IF(D31&gt;=2,21*(1-C31)^2,0)+IF(D31&gt;=3,56*(1-C31)^3,0)+IF(D31&gt;=4,126*(1-C31)^4,0)+IF(D31&gt;=5,252*(1-C31)^5,0)+IF(D31&gt;=6,462*(1-C31)^6,0)+IF(D31&gt;=7,792*(1-C31)^7,0)+IF(D31&gt;=8,1287*(1-C31)^8,0)))&gt;=0.95,"PASS","FAIL")</x:f>
        <x:v>PASS</x:v>
      </x:c>
      <x:c r="F31" s="21" t="str">
        <x:v>PASS</x:v>
      </x:c>
      <x:c r="G31" s="21" t="str">
        <x:f>IF(E31=F31,"PASS","FAIL")</x:f>
        <x:v>PASS</x:v>
      </x:c>
      <x:c r="H31" s="21" t="str">
        <x:v>conditional completion at least 0.95</x:v>
      </x:c>
    </x:row>
    <x:row r="32">
      <x:c r="A32" s="21" t="str">
        <x:v>XT-028</x:v>
      </x:c>
      <x:c r="B32" s="21" t="str">
        <x:v>reserve assurance</x:v>
      </x:c>
      <x:c r="C32" s="21" t="n">
        <x:v>0.7</x:v>
      </x:c>
      <x:c r="D32" s="21" t="n">
        <x:v>8</x:v>
      </x:c>
      <x:c r="E32" s="21" t="str">
        <x:f>IF((C32^5*(1+IF(D32&gt;=1,5*(1-C32),0)+IF(D32&gt;=2,15*(1-C32)^2,0)+IF(D32&gt;=3,35*(1-C32)^3,0)+IF(D32&gt;=4,70*(1-C32)^4,0)+IF(D32&gt;=5,126*(1-C32)^5,0)+IF(D32&gt;=6,210*(1-C32)^6,0)+IF(D32&gt;=7,330*(1-C32)^7,0)+IF(D32&gt;=8,495*(1-C32)^8,0)))*(C32^6*(1+IF(D32&gt;=1,6*(1-C32),0)+IF(D32&gt;=2,21*(1-C32)^2,0)+IF(D32&gt;=3,56*(1-C32)^3,0)+IF(D32&gt;=4,126*(1-C32)^4,0)+IF(D32&gt;=5,252*(1-C32)^5,0)+IF(D32&gt;=6,462*(1-C32)^6,0)+IF(D32&gt;=7,792*(1-C32)^7,0)+IF(D32&gt;=8,1287*(1-C32)^8,0)))&gt;=0.95,"PASS","FAIL")</x:f>
        <x:v>PASS</x:v>
      </x:c>
      <x:c r="F32" s="21" t="str">
        <x:v>PASS</x:v>
      </x:c>
      <x:c r="G32" s="21" t="str">
        <x:f>IF(E32=F32,"PASS","FAIL")</x:f>
        <x:v>PASS</x:v>
      </x:c>
      <x:c r="H32" s="21" t="str">
        <x:v>conditional completion at least 0.95</x:v>
      </x:c>
    </x:row>
    <x:row r="33">
      <x:c r="A33" s="21" t="str">
        <x:v>XT-029</x:v>
      </x:c>
      <x:c r="B33" s="21" t="str">
        <x:v>reserve assurance</x:v>
      </x:c>
      <x:c r="C33" s="21" t="n">
        <x:v>0.75</x:v>
      </x:c>
      <x:c r="D33" s="21" t="n">
        <x:v>5</x:v>
      </x:c>
      <x:c r="E33" s="21" t="str">
        <x:f>IF((C33^5*(1+IF(D33&gt;=1,5*(1-C33),0)+IF(D33&gt;=2,15*(1-C33)^2,0)+IF(D33&gt;=3,35*(1-C33)^3,0)+IF(D33&gt;=4,70*(1-C33)^4,0)+IF(D33&gt;=5,126*(1-C33)^5,0)+IF(D33&gt;=6,210*(1-C33)^6,0)+IF(D33&gt;=7,330*(1-C33)^7,0)+IF(D33&gt;=8,495*(1-C33)^8,0)))*(C33^6*(1+IF(D33&gt;=1,6*(1-C33),0)+IF(D33&gt;=2,21*(1-C33)^2,0)+IF(D33&gt;=3,56*(1-C33)^3,0)+IF(D33&gt;=4,126*(1-C33)^4,0)+IF(D33&gt;=5,252*(1-C33)^5,0)+IF(D33&gt;=6,462*(1-C33)^6,0)+IF(D33&gt;=7,792*(1-C33)^7,0)+IF(D33&gt;=8,1287*(1-C33)^8,0)))&gt;=0.95,"PASS","FAIL")</x:f>
        <x:v>FAIL</x:v>
      </x:c>
      <x:c r="F33" s="21" t="str">
        <x:v>FAIL</x:v>
      </x:c>
      <x:c r="G33" s="21" t="str">
        <x:f>IF(E33=F33,"PASS","FAIL")</x:f>
        <x:v>PASS</x:v>
      </x:c>
      <x:c r="H33" s="21" t="str">
        <x:v>conditional completion at least 0.95</x:v>
      </x:c>
    </x:row>
    <x:row r="34">
      <x:c r="A34" s="21" t="str">
        <x:v>XT-030</x:v>
      </x:c>
      <x:c r="B34" s="21" t="str">
        <x:v>reserve assurance</x:v>
      </x:c>
      <x:c r="C34" s="21" t="n">
        <x:v>0.75</x:v>
      </x:c>
      <x:c r="D34" s="21" t="n">
        <x:v>6</x:v>
      </x:c>
      <x:c r="E34" s="21" t="str">
        <x:f>IF((C34^5*(1+IF(D34&gt;=1,5*(1-C34),0)+IF(D34&gt;=2,15*(1-C34)^2,0)+IF(D34&gt;=3,35*(1-C34)^3,0)+IF(D34&gt;=4,70*(1-C34)^4,0)+IF(D34&gt;=5,126*(1-C34)^5,0)+IF(D34&gt;=6,210*(1-C34)^6,0)+IF(D34&gt;=7,330*(1-C34)^7,0)+IF(D34&gt;=8,495*(1-C34)^8,0)))*(C34^6*(1+IF(D34&gt;=1,6*(1-C34),0)+IF(D34&gt;=2,21*(1-C34)^2,0)+IF(D34&gt;=3,56*(1-C34)^3,0)+IF(D34&gt;=4,126*(1-C34)^4,0)+IF(D34&gt;=5,252*(1-C34)^5,0)+IF(D34&gt;=6,462*(1-C34)^6,0)+IF(D34&gt;=7,792*(1-C34)^7,0)+IF(D34&gt;=8,1287*(1-C34)^8,0)))&gt;=0.95,"PASS","FAIL")</x:f>
        <x:v>PASS</x:v>
      </x:c>
      <x:c r="F34" s="21" t="str">
        <x:v>PASS</x:v>
      </x:c>
      <x:c r="G34" s="21" t="str">
        <x:f>IF(E34=F34,"PASS","FAIL")</x:f>
        <x:v>PASS</x:v>
      </x:c>
      <x:c r="H34" s="21" t="str">
        <x:v>conditional completion at least 0.95</x:v>
      </x:c>
    </x:row>
    <x:row r="35">
      <x:c r="A35" s="21" t="str">
        <x:v>XT-031</x:v>
      </x:c>
      <x:c r="B35" s="21" t="str">
        <x:v>reserve assurance</x:v>
      </x:c>
      <x:c r="C35" s="21" t="n">
        <x:v>0.75</x:v>
      </x:c>
      <x:c r="D35" s="21" t="n">
        <x:v>7</x:v>
      </x:c>
      <x:c r="E35" s="21" t="str">
        <x:f>IF((C35^5*(1+IF(D35&gt;=1,5*(1-C35),0)+IF(D35&gt;=2,15*(1-C35)^2,0)+IF(D35&gt;=3,35*(1-C35)^3,0)+IF(D35&gt;=4,70*(1-C35)^4,0)+IF(D35&gt;=5,126*(1-C35)^5,0)+IF(D35&gt;=6,210*(1-C35)^6,0)+IF(D35&gt;=7,330*(1-C35)^7,0)+IF(D35&gt;=8,495*(1-C35)^8,0)))*(C35^6*(1+IF(D35&gt;=1,6*(1-C35),0)+IF(D35&gt;=2,21*(1-C35)^2,0)+IF(D35&gt;=3,56*(1-C35)^3,0)+IF(D35&gt;=4,126*(1-C35)^4,0)+IF(D35&gt;=5,252*(1-C35)^5,0)+IF(D35&gt;=6,462*(1-C35)^6,0)+IF(D35&gt;=7,792*(1-C35)^7,0)+IF(D35&gt;=8,1287*(1-C35)^8,0)))&gt;=0.95,"PASS","FAIL")</x:f>
        <x:v>PASS</x:v>
      </x:c>
      <x:c r="F35" s="21" t="str">
        <x:v>PASS</x:v>
      </x:c>
      <x:c r="G35" s="21" t="str">
        <x:f>IF(E35=F35,"PASS","FAIL")</x:f>
        <x:v>PASS</x:v>
      </x:c>
      <x:c r="H35" s="21" t="str">
        <x:v>conditional completion at least 0.95</x:v>
      </x:c>
    </x:row>
    <x:row r="36">
      <x:c r="A36" s="21" t="str">
        <x:v>XT-032</x:v>
      </x:c>
      <x:c r="B36" s="21" t="str">
        <x:v>reserve assurance</x:v>
      </x:c>
      <x:c r="C36" s="21" t="n">
        <x:v>0.75</x:v>
      </x:c>
      <x:c r="D36" s="21" t="n">
        <x:v>8</x:v>
      </x:c>
      <x:c r="E36" s="21" t="str">
        <x:f>IF((C36^5*(1+IF(D36&gt;=1,5*(1-C36),0)+IF(D36&gt;=2,15*(1-C36)^2,0)+IF(D36&gt;=3,35*(1-C36)^3,0)+IF(D36&gt;=4,70*(1-C36)^4,0)+IF(D36&gt;=5,126*(1-C36)^5,0)+IF(D36&gt;=6,210*(1-C36)^6,0)+IF(D36&gt;=7,330*(1-C36)^7,0)+IF(D36&gt;=8,495*(1-C36)^8,0)))*(C36^6*(1+IF(D36&gt;=1,6*(1-C36),0)+IF(D36&gt;=2,21*(1-C36)^2,0)+IF(D36&gt;=3,56*(1-C36)^3,0)+IF(D36&gt;=4,126*(1-C36)^4,0)+IF(D36&gt;=5,252*(1-C36)^5,0)+IF(D36&gt;=6,462*(1-C36)^6,0)+IF(D36&gt;=7,792*(1-C36)^7,0)+IF(D36&gt;=8,1287*(1-C36)^8,0)))&gt;=0.95,"PASS","FAIL")</x:f>
        <x:v>PASS</x:v>
      </x:c>
      <x:c r="F36" s="21" t="str">
        <x:v>PASS</x:v>
      </x:c>
      <x:c r="G36" s="21" t="str">
        <x:f>IF(E36=F36,"PASS","FAIL")</x:f>
        <x:v>PASS</x:v>
      </x:c>
      <x:c r="H36" s="21" t="str">
        <x:v>conditional completion at least 0.95</x:v>
      </x:c>
    </x:row>
    <x:row r="37">
      <x:c r="A37" s="21" t="str">
        <x:v>XT-033</x:v>
      </x:c>
      <x:c r="B37" s="21" t="str">
        <x:v>reserve assurance</x:v>
      </x:c>
      <x:c r="C37" s="21" t="n">
        <x:v>0.8</x:v>
      </x:c>
      <x:c r="D37" s="21" t="n">
        <x:v>5</x:v>
      </x:c>
      <x:c r="E37" s="21" t="str">
        <x:f>IF((C37^5*(1+IF(D37&gt;=1,5*(1-C37),0)+IF(D37&gt;=2,15*(1-C37)^2,0)+IF(D37&gt;=3,35*(1-C37)^3,0)+IF(D37&gt;=4,70*(1-C37)^4,0)+IF(D37&gt;=5,126*(1-C37)^5,0)+IF(D37&gt;=6,210*(1-C37)^6,0)+IF(D37&gt;=7,330*(1-C37)^7,0)+IF(D37&gt;=8,495*(1-C37)^8,0)))*(C37^6*(1+IF(D37&gt;=1,6*(1-C37),0)+IF(D37&gt;=2,21*(1-C37)^2,0)+IF(D37&gt;=3,56*(1-C37)^3,0)+IF(D37&gt;=4,126*(1-C37)^4,0)+IF(D37&gt;=5,252*(1-C37)^5,0)+IF(D37&gt;=6,462*(1-C37)^6,0)+IF(D37&gt;=7,792*(1-C37)^7,0)+IF(D37&gt;=8,1287*(1-C37)^8,0)))&gt;=0.95,"PASS","FAIL")</x:f>
        <x:v>PASS</x:v>
      </x:c>
      <x:c r="F37" s="21" t="str">
        <x:v>PASS</x:v>
      </x:c>
      <x:c r="G37" s="21" t="str">
        <x:f>IF(E37=F37,"PASS","FAIL")</x:f>
        <x:v>PASS</x:v>
      </x:c>
      <x:c r="H37" s="21" t="str">
        <x:v>conditional completion at least 0.95</x:v>
      </x:c>
    </x:row>
    <x:row r="38">
      <x:c r="A38" s="21" t="str">
        <x:v>XT-034</x:v>
      </x:c>
      <x:c r="B38" s="21" t="str">
        <x:v>reserve assurance</x:v>
      </x:c>
      <x:c r="C38" s="21" t="n">
        <x:v>0.8</x:v>
      </x:c>
      <x:c r="D38" s="21" t="n">
        <x:v>6</x:v>
      </x:c>
      <x:c r="E38" s="21" t="str">
        <x:f>IF((C38^5*(1+IF(D38&gt;=1,5*(1-C38),0)+IF(D38&gt;=2,15*(1-C38)^2,0)+IF(D38&gt;=3,35*(1-C38)^3,0)+IF(D38&gt;=4,70*(1-C38)^4,0)+IF(D38&gt;=5,126*(1-C38)^5,0)+IF(D38&gt;=6,210*(1-C38)^6,0)+IF(D38&gt;=7,330*(1-C38)^7,0)+IF(D38&gt;=8,495*(1-C38)^8,0)))*(C38^6*(1+IF(D38&gt;=1,6*(1-C38),0)+IF(D38&gt;=2,21*(1-C38)^2,0)+IF(D38&gt;=3,56*(1-C38)^3,0)+IF(D38&gt;=4,126*(1-C38)^4,0)+IF(D38&gt;=5,252*(1-C38)^5,0)+IF(D38&gt;=6,462*(1-C38)^6,0)+IF(D38&gt;=7,792*(1-C38)^7,0)+IF(D38&gt;=8,1287*(1-C38)^8,0)))&gt;=0.95,"PASS","FAIL")</x:f>
        <x:v>PASS</x:v>
      </x:c>
      <x:c r="F38" s="21" t="str">
        <x:v>PASS</x:v>
      </x:c>
      <x:c r="G38" s="21" t="str">
        <x:f>IF(E38=F38,"PASS","FAIL")</x:f>
        <x:v>PASS</x:v>
      </x:c>
      <x:c r="H38" s="21" t="str">
        <x:v>conditional completion at least 0.95</x:v>
      </x:c>
    </x:row>
    <x:row r="39">
      <x:c r="A39" s="21" t="str">
        <x:v>XT-035</x:v>
      </x:c>
      <x:c r="B39" s="21" t="str">
        <x:v>reserve assurance</x:v>
      </x:c>
      <x:c r="C39" s="21" t="n">
        <x:v>0.8</x:v>
      </x:c>
      <x:c r="D39" s="21" t="n">
        <x:v>7</x:v>
      </x:c>
      <x:c r="E39" s="21" t="str">
        <x:f>IF((C39^5*(1+IF(D39&gt;=1,5*(1-C39),0)+IF(D39&gt;=2,15*(1-C39)^2,0)+IF(D39&gt;=3,35*(1-C39)^3,0)+IF(D39&gt;=4,70*(1-C39)^4,0)+IF(D39&gt;=5,126*(1-C39)^5,0)+IF(D39&gt;=6,210*(1-C39)^6,0)+IF(D39&gt;=7,330*(1-C39)^7,0)+IF(D39&gt;=8,495*(1-C39)^8,0)))*(C39^6*(1+IF(D39&gt;=1,6*(1-C39),0)+IF(D39&gt;=2,21*(1-C39)^2,0)+IF(D39&gt;=3,56*(1-C39)^3,0)+IF(D39&gt;=4,126*(1-C39)^4,0)+IF(D39&gt;=5,252*(1-C39)^5,0)+IF(D39&gt;=6,462*(1-C39)^6,0)+IF(D39&gt;=7,792*(1-C39)^7,0)+IF(D39&gt;=8,1287*(1-C39)^8,0)))&gt;=0.95,"PASS","FAIL")</x:f>
        <x:v>PASS</x:v>
      </x:c>
      <x:c r="F39" s="21" t="str">
        <x:v>PASS</x:v>
      </x:c>
      <x:c r="G39" s="21" t="str">
        <x:f>IF(E39=F39,"PASS","FAIL")</x:f>
        <x:v>PASS</x:v>
      </x:c>
      <x:c r="H39" s="21" t="str">
        <x:v>conditional completion at least 0.95</x:v>
      </x:c>
    </x:row>
    <x:row r="40">
      <x:c r="A40" s="21" t="str">
        <x:v>XT-036</x:v>
      </x:c>
      <x:c r="B40" s="21" t="str">
        <x:v>reserve assurance</x:v>
      </x:c>
      <x:c r="C40" s="21" t="n">
        <x:v>0.8</x:v>
      </x:c>
      <x:c r="D40" s="21" t="n">
        <x:v>8</x:v>
      </x:c>
      <x:c r="E40" s="21" t="str">
        <x:f>IF((C40^5*(1+IF(D40&gt;=1,5*(1-C40),0)+IF(D40&gt;=2,15*(1-C40)^2,0)+IF(D40&gt;=3,35*(1-C40)^3,0)+IF(D40&gt;=4,70*(1-C40)^4,0)+IF(D40&gt;=5,126*(1-C40)^5,0)+IF(D40&gt;=6,210*(1-C40)^6,0)+IF(D40&gt;=7,330*(1-C40)^7,0)+IF(D40&gt;=8,495*(1-C40)^8,0)))*(C40^6*(1+IF(D40&gt;=1,6*(1-C40),0)+IF(D40&gt;=2,21*(1-C40)^2,0)+IF(D40&gt;=3,56*(1-C40)^3,0)+IF(D40&gt;=4,126*(1-C40)^4,0)+IF(D40&gt;=5,252*(1-C40)^5,0)+IF(D40&gt;=6,462*(1-C40)^6,0)+IF(D40&gt;=7,792*(1-C40)^7,0)+IF(D40&gt;=8,1287*(1-C40)^8,0)))&gt;=0.95,"PASS","FAIL")</x:f>
        <x:v>PASS</x:v>
      </x:c>
      <x:c r="F40" s="21" t="str">
        <x:v>PASS</x:v>
      </x:c>
      <x:c r="G40" s="21" t="str">
        <x:f>IF(E40=F40,"PASS","FAIL")</x:f>
        <x:v>PASS</x:v>
      </x:c>
      <x:c r="H40" s="21" t="str">
        <x:v>conditional completion at least 0.95</x:v>
      </x:c>
    </x:row>
    <x:row r="41">
      <x:c r="A41" s="21" t="str">
        <x:v>XT-037</x:v>
      </x:c>
      <x:c r="B41" s="21" t="str">
        <x:v>reserve assurance</x:v>
      </x:c>
      <x:c r="C41" s="21" t="n">
        <x:v>0.88</x:v>
      </x:c>
      <x:c r="D41" s="21" t="n">
        <x:v>5</x:v>
      </x:c>
      <x:c r="E41" s="21" t="str">
        <x:f>IF((C41^5*(1+IF(D41&gt;=1,5*(1-C41),0)+IF(D41&gt;=2,15*(1-C41)^2,0)+IF(D41&gt;=3,35*(1-C41)^3,0)+IF(D41&gt;=4,70*(1-C41)^4,0)+IF(D41&gt;=5,126*(1-C41)^5,0)+IF(D41&gt;=6,210*(1-C41)^6,0)+IF(D41&gt;=7,330*(1-C41)^7,0)+IF(D41&gt;=8,495*(1-C41)^8,0)))*(C41^6*(1+IF(D41&gt;=1,6*(1-C41),0)+IF(D41&gt;=2,21*(1-C41)^2,0)+IF(D41&gt;=3,56*(1-C41)^3,0)+IF(D41&gt;=4,126*(1-C41)^4,0)+IF(D41&gt;=5,252*(1-C41)^5,0)+IF(D41&gt;=6,462*(1-C41)^6,0)+IF(D41&gt;=7,792*(1-C41)^7,0)+IF(D41&gt;=8,1287*(1-C41)^8,0)))&gt;=0.95,"PASS","FAIL")</x:f>
        <x:v>PASS</x:v>
      </x:c>
      <x:c r="F41" s="21" t="str">
        <x:v>PASS</x:v>
      </x:c>
      <x:c r="G41" s="21" t="str">
        <x:f>IF(E41=F41,"PASS","FAIL")</x:f>
        <x:v>PASS</x:v>
      </x:c>
      <x:c r="H41" s="21" t="str">
        <x:v>conditional completion at least 0.95</x:v>
      </x:c>
    </x:row>
    <x:row r="42">
      <x:c r="A42" s="21" t="str">
        <x:v>XT-038</x:v>
      </x:c>
      <x:c r="B42" s="21" t="str">
        <x:v>reserve assurance</x:v>
      </x:c>
      <x:c r="C42" s="21" t="n">
        <x:v>0.88</x:v>
      </x:c>
      <x:c r="D42" s="21" t="n">
        <x:v>6</x:v>
      </x:c>
      <x:c r="E42" s="21" t="str">
        <x:f>IF((C42^5*(1+IF(D42&gt;=1,5*(1-C42),0)+IF(D42&gt;=2,15*(1-C42)^2,0)+IF(D42&gt;=3,35*(1-C42)^3,0)+IF(D42&gt;=4,70*(1-C42)^4,0)+IF(D42&gt;=5,126*(1-C42)^5,0)+IF(D42&gt;=6,210*(1-C42)^6,0)+IF(D42&gt;=7,330*(1-C42)^7,0)+IF(D42&gt;=8,495*(1-C42)^8,0)))*(C42^6*(1+IF(D42&gt;=1,6*(1-C42),0)+IF(D42&gt;=2,21*(1-C42)^2,0)+IF(D42&gt;=3,56*(1-C42)^3,0)+IF(D42&gt;=4,126*(1-C42)^4,0)+IF(D42&gt;=5,252*(1-C42)^5,0)+IF(D42&gt;=6,462*(1-C42)^6,0)+IF(D42&gt;=7,792*(1-C42)^7,0)+IF(D42&gt;=8,1287*(1-C42)^8,0)))&gt;=0.95,"PASS","FAIL")</x:f>
        <x:v>PASS</x:v>
      </x:c>
      <x:c r="F42" s="21" t="str">
        <x:v>PASS</x:v>
      </x:c>
      <x:c r="G42" s="21" t="str">
        <x:f>IF(E42=F42,"PASS","FAIL")</x:f>
        <x:v>PASS</x:v>
      </x:c>
      <x:c r="H42" s="21" t="str">
        <x:v>conditional completion at least 0.95</x:v>
      </x:c>
    </x:row>
    <x:row r="43">
      <x:c r="A43" s="21" t="str">
        <x:v>XT-039</x:v>
      </x:c>
      <x:c r="B43" s="21" t="str">
        <x:v>reserve assurance</x:v>
      </x:c>
      <x:c r="C43" s="21" t="n">
        <x:v>0.88</x:v>
      </x:c>
      <x:c r="D43" s="21" t="n">
        <x:v>7</x:v>
      </x:c>
      <x:c r="E43" s="21" t="str">
        <x:f>IF((C43^5*(1+IF(D43&gt;=1,5*(1-C43),0)+IF(D43&gt;=2,15*(1-C43)^2,0)+IF(D43&gt;=3,35*(1-C43)^3,0)+IF(D43&gt;=4,70*(1-C43)^4,0)+IF(D43&gt;=5,126*(1-C43)^5,0)+IF(D43&gt;=6,210*(1-C43)^6,0)+IF(D43&gt;=7,330*(1-C43)^7,0)+IF(D43&gt;=8,495*(1-C43)^8,0)))*(C43^6*(1+IF(D43&gt;=1,6*(1-C43),0)+IF(D43&gt;=2,21*(1-C43)^2,0)+IF(D43&gt;=3,56*(1-C43)^3,0)+IF(D43&gt;=4,126*(1-C43)^4,0)+IF(D43&gt;=5,252*(1-C43)^5,0)+IF(D43&gt;=6,462*(1-C43)^6,0)+IF(D43&gt;=7,792*(1-C43)^7,0)+IF(D43&gt;=8,1287*(1-C43)^8,0)))&gt;=0.95,"PASS","FAIL")</x:f>
        <x:v>PASS</x:v>
      </x:c>
      <x:c r="F43" s="21" t="str">
        <x:v>PASS</x:v>
      </x:c>
      <x:c r="G43" s="21" t="str">
        <x:f>IF(E43=F43,"PASS","FAIL")</x:f>
        <x:v>PASS</x:v>
      </x:c>
      <x:c r="H43" s="21" t="str">
        <x:v>conditional completion at least 0.95</x:v>
      </x:c>
    </x:row>
    <x:row r="44">
      <x:c r="A44" s="21" t="str">
        <x:v>XT-040</x:v>
      </x:c>
      <x:c r="B44" s="21" t="str">
        <x:v>reserve assurance</x:v>
      </x:c>
      <x:c r="C44" s="21" t="n">
        <x:v>0.88</x:v>
      </x:c>
      <x:c r="D44" s="21" t="n">
        <x:v>8</x:v>
      </x:c>
      <x:c r="E44" s="21" t="str">
        <x:f>IF((C44^5*(1+IF(D44&gt;=1,5*(1-C44),0)+IF(D44&gt;=2,15*(1-C44)^2,0)+IF(D44&gt;=3,35*(1-C44)^3,0)+IF(D44&gt;=4,70*(1-C44)^4,0)+IF(D44&gt;=5,126*(1-C44)^5,0)+IF(D44&gt;=6,210*(1-C44)^6,0)+IF(D44&gt;=7,330*(1-C44)^7,0)+IF(D44&gt;=8,495*(1-C44)^8,0)))*(C44^6*(1+IF(D44&gt;=1,6*(1-C44),0)+IF(D44&gt;=2,21*(1-C44)^2,0)+IF(D44&gt;=3,56*(1-C44)^3,0)+IF(D44&gt;=4,126*(1-C44)^4,0)+IF(D44&gt;=5,252*(1-C44)^5,0)+IF(D44&gt;=6,462*(1-C44)^6,0)+IF(D44&gt;=7,792*(1-C44)^7,0)+IF(D44&gt;=8,1287*(1-C44)^8,0)))&gt;=0.95,"PASS","FAIL")</x:f>
        <x:v>PASS</x:v>
      </x:c>
      <x:c r="F44" s="21" t="str">
        <x:v>PASS</x:v>
      </x:c>
      <x:c r="G44" s="21" t="str">
        <x:f>IF(E44=F44,"PASS","FAIL")</x:f>
        <x:v>PASS</x:v>
      </x:c>
      <x:c r="H44" s="21" t="str">
        <x:v>conditional completion at least 0.95</x:v>
      </x:c>
    </x:row>
    <x:row r="45">
      <x:c r="A45" s="21" t="str">
        <x:v>XT-041</x:v>
      </x:c>
      <x:c r="B45" s="21" t="str">
        <x:v>receiver capacity</x:v>
      </x:c>
      <x:c r="C45" s="21" t="n">
        <x:v>250</x:v>
      </x:c>
      <x:c r="D45" s="21" t="n">
        <x:v>800</x:v>
      </x:c>
      <x:c r="E45" s="21" t="str">
        <x:f>IF(D45&lt;=0,"FAIL",IF(C45/D45&lt;=Controls!B24,"PASS","FAIL"))</x:f>
        <x:v>PASS</x:v>
      </x:c>
      <x:c r="F45" s="21" t="str">
        <x:v>PASS</x:v>
      </x:c>
      <x:c r="G45" s="21" t="str">
        <x:f>IF(E45=F45,"PASS","FAIL")</x:f>
        <x:v>PASS</x:v>
      </x:c>
      <x:c r="H45" s="21" t="str">
        <x:v>event volume at or below 0.4 m3</x:v>
      </x:c>
    </x:row>
    <x:row r="46">
      <x:c r="A46" s="21" t="str">
        <x:v>XT-042</x:v>
      </x:c>
      <x:c r="B46" s="21" t="str">
        <x:v>receiver capacity</x:v>
      </x:c>
      <x:c r="C46" s="21" t="n">
        <x:v>250</x:v>
      </x:c>
      <x:c r="D46" s="21" t="n">
        <x:v>792</x:v>
      </x:c>
      <x:c r="E46" s="21" t="str">
        <x:f>IF(D46&lt;=0,"FAIL",IF(C46/D46&lt;=Controls!B24,"PASS","FAIL"))</x:f>
        <x:v>PASS</x:v>
      </x:c>
      <x:c r="F46" s="21" t="str">
        <x:v>PASS</x:v>
      </x:c>
      <x:c r="G46" s="21" t="str">
        <x:f>IF(E46=F46,"PASS","FAIL")</x:f>
        <x:v>PASS</x:v>
      </x:c>
      <x:c r="H46" s="21" t="str">
        <x:v>event volume at or below 0.4 m3</x:v>
      </x:c>
    </x:row>
    <x:row r="47">
      <x:c r="A47" s="21" t="str">
        <x:v>XT-043</x:v>
      </x:c>
      <x:c r="B47" s="21" t="str">
        <x:v>receiver capacity</x:v>
      </x:c>
      <x:c r="C47" s="21" t="n">
        <x:v>250</x:v>
      </x:c>
      <x:c r="D47" s="21" t="n">
        <x:v>808</x:v>
      </x:c>
      <x:c r="E47" s="21" t="str">
        <x:f>IF(D47&lt;=0,"FAIL",IF(C47/D47&lt;=Controls!B24,"PASS","FAIL"))</x:f>
        <x:v>PASS</x:v>
      </x:c>
      <x:c r="F47" s="21" t="str">
        <x:v>PASS</x:v>
      </x:c>
      <x:c r="G47" s="21" t="str">
        <x:f>IF(E47=F47,"PASS","FAIL")</x:f>
        <x:v>PASS</x:v>
      </x:c>
      <x:c r="H47" s="21" t="str">
        <x:v>event volume at or below 0.4 m3</x:v>
      </x:c>
    </x:row>
    <x:row r="48">
      <x:c r="A48" s="21" t="str">
        <x:v>XT-044</x:v>
      </x:c>
      <x:c r="B48" s="21" t="str">
        <x:v>receiver capacity</x:v>
      </x:c>
      <x:c r="C48" s="21" t="n">
        <x:v>300</x:v>
      </x:c>
      <x:c r="D48" s="21" t="n">
        <x:v>800</x:v>
      </x:c>
      <x:c r="E48" s="21" t="str">
        <x:f>IF(D48&lt;=0,"FAIL",IF(C48/D48&lt;=Controls!B24,"PASS","FAIL"))</x:f>
        <x:v>PASS</x:v>
      </x:c>
      <x:c r="F48" s="21" t="str">
        <x:v>PASS</x:v>
      </x:c>
      <x:c r="G48" s="21" t="str">
        <x:f>IF(E48=F48,"PASS","FAIL")</x:f>
        <x:v>PASS</x:v>
      </x:c>
      <x:c r="H48" s="21" t="str">
        <x:v>event volume at or below 0.4 m3</x:v>
      </x:c>
    </x:row>
    <x:row r="49">
      <x:c r="A49" s="21" t="str">
        <x:v>XT-045</x:v>
      </x:c>
      <x:c r="B49" s="21" t="str">
        <x:v>receiver capacity</x:v>
      </x:c>
      <x:c r="C49" s="21" t="n">
        <x:v>320</x:v>
      </x:c>
      <x:c r="D49" s="21" t="n">
        <x:v>800</x:v>
      </x:c>
      <x:c r="E49" s="21" t="str">
        <x:f>IF(D49&lt;=0,"FAIL",IF(C49/D49&lt;=Controls!B24,"PASS","FAIL"))</x:f>
        <x:v>PASS</x:v>
      </x:c>
      <x:c r="F49" s="21" t="str">
        <x:v>PASS</x:v>
      </x:c>
      <x:c r="G49" s="21" t="str">
        <x:f>IF(E49=F49,"PASS","FAIL")</x:f>
        <x:v>PASS</x:v>
      </x:c>
      <x:c r="H49" s="21" t="str">
        <x:v>event volume at or below 0.4 m3</x:v>
      </x:c>
    </x:row>
    <x:row r="50">
      <x:c r="A50" s="21" t="str">
        <x:v>XT-046</x:v>
      </x:c>
      <x:c r="B50" s="21" t="str">
        <x:v>receiver capacity</x:v>
      </x:c>
      <x:c r="C50" s="21" t="n">
        <x:v>321</x:v>
      </x:c>
      <x:c r="D50" s="21" t="n">
        <x:v>800</x:v>
      </x:c>
      <x:c r="E50" s="21" t="str">
        <x:f>IF(D50&lt;=0,"FAIL",IF(C50/D50&lt;=Controls!B24,"PASS","FAIL"))</x:f>
        <x:v>FAIL</x:v>
      </x:c>
      <x:c r="F50" s="21" t="str">
        <x:v>FAIL</x:v>
      </x:c>
      <x:c r="G50" s="21" t="str">
        <x:f>IF(E50=F50,"PASS","FAIL")</x:f>
        <x:v>PASS</x:v>
      </x:c>
      <x:c r="H50" s="21" t="str">
        <x:v>event volume at or below 0.4 m3</x:v>
      </x:c>
    </x:row>
    <x:row r="51">
      <x:c r="A51" s="21" t="str">
        <x:v>XT-047</x:v>
      </x:c>
      <x:c r="B51" s="21" t="str">
        <x:v>receiver capacity</x:v>
      </x:c>
      <x:c r="C51" s="21" t="n">
        <x:v>250</x:v>
      </x:c>
      <x:c r="D51" s="21" t="n">
        <x:v>624</x:v>
      </x:c>
      <x:c r="E51" s="21" t="str">
        <x:f>IF(D51&lt;=0,"FAIL",IF(C51/D51&lt;=Controls!B24,"PASS","FAIL"))</x:f>
        <x:v>FAIL</x:v>
      </x:c>
      <x:c r="F51" s="21" t="str">
        <x:v>FAIL</x:v>
      </x:c>
      <x:c r="G51" s="21" t="str">
        <x:f>IF(E51=F51,"PASS","FAIL")</x:f>
        <x:v>PASS</x:v>
      </x:c>
      <x:c r="H51" s="21" t="str">
        <x:v>event volume at or below 0.4 m3</x:v>
      </x:c>
    </x:row>
    <x:row r="52">
      <x:c r="A52" s="21" t="str">
        <x:v>XT-048</x:v>
      </x:c>
      <x:c r="B52" s="21" t="str">
        <x:v>receiver capacity</x:v>
      </x:c>
      <x:c r="C52" s="21" t="n">
        <x:v>0</x:v>
      </x:c>
      <x:c r="D52" s="21" t="n">
        <x:v>800</x:v>
      </x:c>
      <x:c r="E52" s="21" t="str">
        <x:f>IF(D52&lt;=0,"FAIL",IF(C52/D52&lt;=Controls!B24,"PASS","FAIL"))</x:f>
        <x:v>PASS</x:v>
      </x:c>
      <x:c r="F52" s="21" t="str">
        <x:v>PASS</x:v>
      </x:c>
      <x:c r="G52" s="21" t="str">
        <x:f>IF(E52=F52,"PASS","FAIL")</x:f>
        <x:v>PASS</x:v>
      </x:c>
      <x:c r="H52" s="21" t="str">
        <x:v>event volume at or below 0.4 m3</x:v>
      </x:c>
    </x:row>
    <x:row r="53">
      <x:c r="A53" s="21" t="str">
        <x:v>XT-049</x:v>
      </x:c>
      <x:c r="B53" s="21" t="str">
        <x:v>receiver capacity</x:v>
      </x:c>
      <x:c r="C53" s="21" t="n">
        <x:v>250</x:v>
      </x:c>
      <x:c r="D53" s="21" t="n">
        <x:v>0</x:v>
      </x:c>
      <x:c r="E53" s="21" t="str">
        <x:f>IF(D53&lt;=0,"FAIL",IF(C53/D53&lt;=Controls!B24,"PASS","FAIL"))</x:f>
        <x:v>FAIL</x:v>
      </x:c>
      <x:c r="F53" s="21" t="str">
        <x:v>FAIL</x:v>
      </x:c>
      <x:c r="G53" s="21" t="str">
        <x:f>IF(E53=F53,"PASS","FAIL")</x:f>
        <x:v>PASS</x:v>
      </x:c>
      <x:c r="H53" s="21" t="str">
        <x:v>event volume at or below 0.4 m3</x:v>
      </x:c>
    </x:row>
    <x:row r="54">
      <x:c r="A54" s="21" t="str">
        <x:v>XT-050</x:v>
      </x:c>
      <x:c r="B54" s="21" t="str">
        <x:v>receiver capacity</x:v>
      </x:c>
      <x:c r="C54" s="21" t="n">
        <x:v>250</x:v>
      </x:c>
      <x:c r="D54" s="21" t="n">
        <x:v>790</x:v>
      </x:c>
      <x:c r="E54" s="21" t="str">
        <x:f>IF(D54&lt;=0,"FAIL",IF(C54/D54&lt;=Controls!B24,"PASS","FAIL"))</x:f>
        <x:v>PASS</x:v>
      </x:c>
      <x:c r="F54" s="21" t="str">
        <x:v>PASS</x:v>
      </x:c>
      <x:c r="G54" s="21" t="str">
        <x:f>IF(E54=F54,"PASS","FAIL")</x:f>
        <x:v>PASS</x:v>
      </x:c>
      <x:c r="H54" s="21" t="str">
        <x:v>event volume at or below 0.4 m3</x:v>
      </x:c>
    </x:row>
    <x:row r="55">
      <x:c r="A55" s="21" t="str">
        <x:v>XT-051</x:v>
      </x:c>
      <x:c r="B55" s="21" t="str">
        <x:v>receiver capacity</x:v>
      </x:c>
      <x:c r="C55" s="21" t="n">
        <x:v>317</x:v>
      </x:c>
      <x:c r="D55" s="21" t="n">
        <x:v>792</x:v>
      </x:c>
      <x:c r="E55" s="21" t="str">
        <x:f>IF(D55&lt;=0,"FAIL",IF(C55/D55&lt;=Controls!B24,"PASS","FAIL"))</x:f>
        <x:v>FAIL</x:v>
      </x:c>
      <x:c r="F55" s="21" t="str">
        <x:v>FAIL</x:v>
      </x:c>
      <x:c r="G55" s="21" t="str">
        <x:f>IF(E55=F55,"PASS","FAIL")</x:f>
        <x:v>PASS</x:v>
      </x:c>
      <x:c r="H55" s="21" t="str">
        <x:v>event volume at or below 0.4 m3</x:v>
      </x:c>
    </x:row>
    <x:row r="56">
      <x:c r="A56" s="21" t="str">
        <x:v>XT-052</x:v>
      </x:c>
      <x:c r="B56" s="21" t="str">
        <x:v>receiver capacity</x:v>
      </x:c>
      <x:c r="C56" s="21" t="n">
        <x:v>316</x:v>
      </x:c>
      <x:c r="D56" s="21" t="n">
        <x:v>792</x:v>
      </x:c>
      <x:c r="E56" s="21" t="str">
        <x:f>IF(D56&lt;=0,"FAIL",IF(C56/D56&lt;=Controls!B24,"PASS","FAIL"))</x:f>
        <x:v>PASS</x:v>
      </x:c>
      <x:c r="F56" s="21" t="str">
        <x:v>PASS</x:v>
      </x:c>
      <x:c r="G56" s="21" t="str">
        <x:f>IF(E56=F56,"PASS","FAIL")</x:f>
        <x:v>PASS</x:v>
      </x:c>
      <x:c r="H56" s="21" t="str">
        <x:v>event volume at or below 0.4 m3</x:v>
      </x:c>
    </x:row>
    <x:row r="57">
      <x:c r="A57" s="21" t="str">
        <x:v>XT-053</x:v>
      </x:c>
      <x:c r="B57" s="21" t="str">
        <x:v>source budgets</x:v>
      </x:c>
      <x:c r="C57" s="21" t="n">
        <x:v>0</x:v>
      </x:c>
      <x:c r="D57" s="21" t="n">
        <x:v>0</x:v>
      </x:c>
      <x:c r="E57" s="21" t="str">
        <x:f>IF(AND(C57&gt;=0,D57&gt;=0,C57&lt;=Controls!B27,D57&lt;=Controls!B28),"PASS","FAIL")</x:f>
        <x:v>PASS</x:v>
      </x:c>
      <x:c r="F57" s="21" t="str">
        <x:v>PASS</x:v>
      </x:c>
      <x:c r="G57" s="21" t="str">
        <x:f>IF(E57=F57,"PASS","FAIL")</x:f>
        <x:v>PASS</x:v>
      </x:c>
      <x:c r="H57" s="21" t="str">
        <x:v>nonnegative and within fixed event-object limits</x:v>
      </x:c>
    </x:row>
    <x:row r="58">
      <x:c r="A58" s="21" t="str">
        <x:v>XT-054</x:v>
      </x:c>
      <x:c r="B58" s="21" t="str">
        <x:v>source budgets</x:v>
      </x:c>
      <x:c r="C58" s="21" t="n">
        <x:v>0.25</x:v>
      </x:c>
      <x:c r="D58" s="21" t="n">
        <x:v>1.875</x:v>
      </x:c>
      <x:c r="E58" s="21" t="str">
        <x:f>IF(AND(C58&gt;=0,D58&gt;=0,C58&lt;=Controls!B27,D58&lt;=Controls!B28),"PASS","FAIL")</x:f>
        <x:v>PASS</x:v>
      </x:c>
      <x:c r="F58" s="21" t="str">
        <x:v>PASS</x:v>
      </x:c>
      <x:c r="G58" s="21" t="str">
        <x:f>IF(E58=F58,"PASS","FAIL")</x:f>
        <x:v>PASS</x:v>
      </x:c>
      <x:c r="H58" s="21" t="str">
        <x:v>nonnegative and within fixed event-object limits</x:v>
      </x:c>
    </x:row>
    <x:row r="59">
      <x:c r="A59" s="21" t="str">
        <x:v>XT-055</x:v>
      </x:c>
      <x:c r="B59" s="21" t="str">
        <x:v>source budgets</x:v>
      </x:c>
      <x:c r="C59" s="21" t="n">
        <x:v>0.2501</x:v>
      </x:c>
      <x:c r="D59" s="21" t="n">
        <x:v>1.875</x:v>
      </x:c>
      <x:c r="E59" s="21" t="str">
        <x:f>IF(AND(C59&gt;=0,D59&gt;=0,C59&lt;=Controls!B27,D59&lt;=Controls!B28),"PASS","FAIL")</x:f>
        <x:v>FAIL</x:v>
      </x:c>
      <x:c r="F59" s="21" t="str">
        <x:v>FAIL</x:v>
      </x:c>
      <x:c r="G59" s="21" t="str">
        <x:f>IF(E59=F59,"PASS","FAIL")</x:f>
        <x:v>PASS</x:v>
      </x:c>
      <x:c r="H59" s="21" t="str">
        <x:v>nonnegative and within fixed event-object limits</x:v>
      </x:c>
    </x:row>
    <x:row r="60">
      <x:c r="A60" s="21" t="str">
        <x:v>XT-056</x:v>
      </x:c>
      <x:c r="B60" s="21" t="str">
        <x:v>source budgets</x:v>
      </x:c>
      <x:c r="C60" s="21" t="n">
        <x:v>0.25</x:v>
      </x:c>
      <x:c r="D60" s="21" t="n">
        <x:v>1.876</x:v>
      </x:c>
      <x:c r="E60" s="21" t="str">
        <x:f>IF(AND(C60&gt;=0,D60&gt;=0,C60&lt;=Controls!B27,D60&lt;=Controls!B28),"PASS","FAIL")</x:f>
        <x:v>FAIL</x:v>
      </x:c>
      <x:c r="F60" s="21" t="str">
        <x:v>FAIL</x:v>
      </x:c>
      <x:c r="G60" s="21" t="str">
        <x:f>IF(E60=F60,"PASS","FAIL")</x:f>
        <x:v>PASS</x:v>
      </x:c>
      <x:c r="H60" s="21" t="str">
        <x:v>nonnegative and within fixed event-object limits</x:v>
      </x:c>
    </x:row>
    <x:row r="61">
      <x:c r="A61" s="21" t="str">
        <x:v>XT-057</x:v>
      </x:c>
      <x:c r="B61" s="21" t="str">
        <x:v>source budgets</x:v>
      </x:c>
      <x:c r="C61" s="21" t="n">
        <x:v>0.1</x:v>
      </x:c>
      <x:c r="D61" s="21" t="n">
        <x:v>1</x:v>
      </x:c>
      <x:c r="E61" s="21" t="str">
        <x:f>IF(AND(C61&gt;=0,D61&gt;=0,C61&lt;=Controls!B27,D61&lt;=Controls!B28),"PASS","FAIL")</x:f>
        <x:v>PASS</x:v>
      </x:c>
      <x:c r="F61" s="21" t="str">
        <x:v>PASS</x:v>
      </x:c>
      <x:c r="G61" s="21" t="str">
        <x:f>IF(E61=F61,"PASS","FAIL")</x:f>
        <x:v>PASS</x:v>
      </x:c>
      <x:c r="H61" s="21" t="str">
        <x:v>nonnegative and within fixed event-object limits</x:v>
      </x:c>
    </x:row>
    <x:row r="62">
      <x:c r="A62" s="21" t="str">
        <x:v>XT-058</x:v>
      </x:c>
      <x:c r="B62" s="21" t="str">
        <x:v>source budgets</x:v>
      </x:c>
      <x:c r="C62" s="21" t="n">
        <x:v>0.3</x:v>
      </x:c>
      <x:c r="D62" s="21" t="n">
        <x:v>0</x:v>
      </x:c>
      <x:c r="E62" s="21" t="str">
        <x:f>IF(AND(C62&gt;=0,D62&gt;=0,C62&lt;=Controls!B27,D62&lt;=Controls!B28),"PASS","FAIL")</x:f>
        <x:v>FAIL</x:v>
      </x:c>
      <x:c r="F62" s="21" t="str">
        <x:v>FAIL</x:v>
      </x:c>
      <x:c r="G62" s="21" t="str">
        <x:f>IF(E62=F62,"PASS","FAIL")</x:f>
        <x:v>PASS</x:v>
      </x:c>
      <x:c r="H62" s="21" t="str">
        <x:v>nonnegative and within fixed event-object limits</x:v>
      </x:c>
    </x:row>
    <x:row r="63">
      <x:c r="A63" s="21" t="str">
        <x:v>XT-059</x:v>
      </x:c>
      <x:c r="B63" s="21" t="str">
        <x:v>source budgets</x:v>
      </x:c>
      <x:c r="C63" s="21" t="n">
        <x:v>0</x:v>
      </x:c>
      <x:c r="D63" s="21" t="n">
        <x:v>2</x:v>
      </x:c>
      <x:c r="E63" s="21" t="str">
        <x:f>IF(AND(C63&gt;=0,D63&gt;=0,C63&lt;=Controls!B27,D63&lt;=Controls!B28),"PASS","FAIL")</x:f>
        <x:v>FAIL</x:v>
      </x:c>
      <x:c r="F63" s="21" t="str">
        <x:v>FAIL</x:v>
      </x:c>
      <x:c r="G63" s="21" t="str">
        <x:f>IF(E63=F63,"PASS","FAIL")</x:f>
        <x:v>PASS</x:v>
      </x:c>
      <x:c r="H63" s="21" t="str">
        <x:v>nonnegative and within fixed event-object limits</x:v>
      </x:c>
    </x:row>
    <x:row r="64">
      <x:c r="A64" s="21" t="str">
        <x:v>XT-060</x:v>
      </x:c>
      <x:c r="B64" s="21" t="str">
        <x:v>source budgets</x:v>
      </x:c>
      <x:c r="C64" s="21" t="n">
        <x:v>0.2499</x:v>
      </x:c>
      <x:c r="D64" s="21" t="n">
        <x:v>1.8749</x:v>
      </x:c>
      <x:c r="E64" s="21" t="str">
        <x:f>IF(AND(C64&gt;=0,D64&gt;=0,C64&lt;=Controls!B27,D64&lt;=Controls!B28),"PASS","FAIL")</x:f>
        <x:v>PASS</x:v>
      </x:c>
      <x:c r="F64" s="21" t="str">
        <x:v>PASS</x:v>
      </x:c>
      <x:c r="G64" s="21" t="str">
        <x:f>IF(E64=F64,"PASS","FAIL")</x:f>
        <x:v>PASS</x:v>
      </x:c>
      <x:c r="H64" s="21" t="str">
        <x:v>nonnegative and within fixed event-object limits</x:v>
      </x:c>
    </x:row>
    <x:row r="65">
      <x:c r="A65" s="21" t="str">
        <x:v>XT-061</x:v>
      </x:c>
      <x:c r="B65" s="21" t="str">
        <x:v>source budgets</x:v>
      </x:c>
      <x:c r="C65" s="21" t="n">
        <x:v>-0.1</x:v>
      </x:c>
      <x:c r="D65" s="21" t="n">
        <x:v>0</x:v>
      </x:c>
      <x:c r="E65" s="21" t="str">
        <x:f>IF(AND(C65&gt;=0,D65&gt;=0,C65&lt;=Controls!B27,D65&lt;=Controls!B28),"PASS","FAIL")</x:f>
        <x:v>FAIL</x:v>
      </x:c>
      <x:c r="F65" s="21" t="str">
        <x:v>FAIL</x:v>
      </x:c>
      <x:c r="G65" s="21" t="str">
        <x:f>IF(E65=F65,"PASS","FAIL")</x:f>
        <x:v>PASS</x:v>
      </x:c>
      <x:c r="H65" s="21" t="str">
        <x:v>nonnegative and within fixed event-object limits</x:v>
      </x:c>
    </x:row>
    <x:row r="66">
      <x:c r="A66" s="21" t="str">
        <x:v>XT-062</x:v>
      </x:c>
      <x:c r="B66" s="21" t="str">
        <x:v>source budgets</x:v>
      </x:c>
      <x:c r="C66" s="21" t="n">
        <x:v>0</x:v>
      </x:c>
      <x:c r="D66" s="21" t="n">
        <x:v>-0.1</x:v>
      </x:c>
      <x:c r="E66" s="21" t="str">
        <x:f>IF(AND(C66&gt;=0,D66&gt;=0,C66&lt;=Controls!B27,D66&lt;=Controls!B28),"PASS","FAIL")</x:f>
        <x:v>FAIL</x:v>
      </x:c>
      <x:c r="F66" s="21" t="str">
        <x:v>FAIL</x:v>
      </x:c>
      <x:c r="G66" s="21" t="str">
        <x:f>IF(E66=F66,"PASS","FAIL")</x:f>
        <x:v>PASS</x:v>
      </x:c>
      <x:c r="H66" s="21" t="str">
        <x:v>nonnegative and within fixed event-object limits</x:v>
      </x:c>
    </x:row>
    <x:row r="67">
      <x:c r="A67" s="21" t="str">
        <x:v>XT-063</x:v>
      </x:c>
      <x:c r="B67" s="21" t="str">
        <x:v>source budgets</x:v>
      </x:c>
      <x:c r="C67" s="21" t="n">
        <x:v>0.125</x:v>
      </x:c>
      <x:c r="D67" s="21" t="n">
        <x:v>0.9375</x:v>
      </x:c>
      <x:c r="E67" s="21" t="str">
        <x:f>IF(AND(C67&gt;=0,D67&gt;=0,C67&lt;=Controls!B27,D67&lt;=Controls!B28),"PASS","FAIL")</x:f>
        <x:v>PASS</x:v>
      </x:c>
      <x:c r="F67" s="21" t="str">
        <x:v>PASS</x:v>
      </x:c>
      <x:c r="G67" s="21" t="str">
        <x:f>IF(E67=F67,"PASS","FAIL")</x:f>
        <x:v>PASS</x:v>
      </x:c>
      <x:c r="H67" s="21" t="str">
        <x:v>nonnegative and within fixed event-object limits</x:v>
      </x:c>
    </x:row>
    <x:row r="68">
      <x:c r="A68" s="21" t="str">
        <x:v>XT-064</x:v>
      </x:c>
      <x:c r="B68" s="21" t="str">
        <x:v>source budgets</x:v>
      </x:c>
      <x:c r="C68" s="21" t="n">
        <x:v>0.26</x:v>
      </x:c>
      <x:c r="D68" s="21" t="n">
        <x:v>1</x:v>
      </x:c>
      <x:c r="E68" s="21" t="str">
        <x:f>IF(AND(C68&gt;=0,D68&gt;=0,C68&lt;=Controls!B27,D68&lt;=Controls!B28),"PASS","FAIL")</x:f>
        <x:v>FAIL</x:v>
      </x:c>
      <x:c r="F68" s="21" t="str">
        <x:v>FAIL</x:v>
      </x:c>
      <x:c r="G68" s="21" t="str">
        <x:f>IF(E68=F68,"PASS","FAIL")</x:f>
        <x:v>PASS</x:v>
      </x:c>
      <x:c r="H68" s="21" t="str">
        <x:v>nonnegative and within fixed event-object limits</x:v>
      </x:c>
    </x:row>
    <x:row r="69">
      <x:c r="A69" s="21" t="str">
        <x:v>XT-065</x:v>
      </x:c>
      <x:c r="B69" s="21" t="str">
        <x:v>replacement</x:v>
      </x:c>
      <x:c r="C69" s="21" t="str">
        <x:v>INVALID</x:v>
      </x:c>
      <x:c r="D69" s="21" t="str">
        <x:v>SAME ROOT</x:v>
      </x:c>
      <x:c r="E69" s="21" t="str">
        <x:f>IF(AND(C69="INVALID",D69="SAME ROOT"),"ALLOW","PROHIBIT")</x:f>
        <x:v>ALLOW</x:v>
      </x:c>
      <x:c r="F69" s="21" t="str">
        <x:v>ALLOW</x:v>
      </x:c>
      <x:c r="G69" s="21" t="str">
        <x:f>IF(E69=F69,"PASS","FAIL")</x:f>
        <x:v>PASS</x:v>
      </x:c>
      <x:c r="H69" s="21" t="str">
        <x:v>independent invalidity and same root only</x:v>
      </x:c>
    </x:row>
    <x:row r="70">
      <x:c r="A70" s="21" t="str">
        <x:v>XT-066</x:v>
      </x:c>
      <x:c r="B70" s="21" t="str">
        <x:v>replacement</x:v>
      </x:c>
      <x:c r="C70" s="21" t="str">
        <x:v>INVALID</x:v>
      </x:c>
      <x:c r="D70" s="21" t="str">
        <x:v>OTHER ROOT</x:v>
      </x:c>
      <x:c r="E70" s="21" t="str">
        <x:f>IF(AND(C70="INVALID",D70="SAME ROOT"),"ALLOW","PROHIBIT")</x:f>
        <x:v>PROHIBIT</x:v>
      </x:c>
      <x:c r="F70" s="21" t="str">
        <x:v>PROHIBIT</x:v>
      </x:c>
      <x:c r="G70" s="21" t="str">
        <x:f>IF(E70=F70,"PASS","FAIL")</x:f>
        <x:v>PASS</x:v>
      </x:c>
      <x:c r="H70" s="21" t="str">
        <x:v>independent invalidity and same root only</x:v>
      </x:c>
    </x:row>
    <x:row r="71">
      <x:c r="A71" s="21" t="str">
        <x:v>XT-067</x:v>
      </x:c>
      <x:c r="B71" s="21" t="str">
        <x:v>replacement</x:v>
      </x:c>
      <x:c r="C71" s="21" t="str">
        <x:v>VALID</x:v>
      </x:c>
      <x:c r="D71" s="21" t="str">
        <x:v>SAME ROOT</x:v>
      </x:c>
      <x:c r="E71" s="21" t="str">
        <x:f>IF(AND(C71="INVALID",D71="SAME ROOT"),"ALLOW","PROHIBIT")</x:f>
        <x:v>PROHIBIT</x:v>
      </x:c>
      <x:c r="F71" s="21" t="str">
        <x:v>PROHIBIT</x:v>
      </x:c>
      <x:c r="G71" s="21" t="str">
        <x:f>IF(E71=F71,"PASS","FAIL")</x:f>
        <x:v>PASS</x:v>
      </x:c>
      <x:c r="H71" s="21" t="str">
        <x:v>independent invalidity and same root only</x:v>
      </x:c>
    </x:row>
    <x:row r="72">
      <x:c r="A72" s="21" t="str">
        <x:v>XT-068</x:v>
      </x:c>
      <x:c r="B72" s="21" t="str">
        <x:v>replacement</x:v>
      </x:c>
      <x:c r="C72" s="21" t="str">
        <x:v>ADVERSE</x:v>
      </x:c>
      <x:c r="D72" s="21" t="str">
        <x:v>SAME ROOT</x:v>
      </x:c>
      <x:c r="E72" s="21" t="str">
        <x:f>IF(AND(C72="INVALID",D72="SAME ROOT"),"ALLOW","PROHIBIT")</x:f>
        <x:v>PROHIBIT</x:v>
      </x:c>
      <x:c r="F72" s="21" t="str">
        <x:v>PROHIBIT</x:v>
      </x:c>
      <x:c r="G72" s="21" t="str">
        <x:f>IF(E72=F72,"PASS","FAIL")</x:f>
        <x:v>PASS</x:v>
      </x:c>
      <x:c r="H72" s="21" t="str">
        <x:v>independent invalidity and same root only</x:v>
      </x:c>
    </x:row>
    <x:row r="73">
      <x:c r="A73" s="21" t="str">
        <x:v>XT-069</x:v>
      </x:c>
      <x:c r="B73" s="21" t="str">
        <x:v>replacement</x:v>
      </x:c>
      <x:c r="C73" s="21" t="str">
        <x:v>OPEN</x:v>
      </x:c>
      <x:c r="D73" s="21" t="str">
        <x:v>SAME ROOT</x:v>
      </x:c>
      <x:c r="E73" s="21" t="str">
        <x:f>IF(AND(C73="INVALID",D73="SAME ROOT"),"ALLOW","PROHIBIT")</x:f>
        <x:v>PROHIBIT</x:v>
      </x:c>
      <x:c r="F73" s="21" t="str">
        <x:v>PROHIBIT</x:v>
      </x:c>
      <x:c r="G73" s="21" t="str">
        <x:f>IF(E73=F73,"PASS","FAIL")</x:f>
        <x:v>PASS</x:v>
      </x:c>
      <x:c r="H73" s="21" t="str">
        <x:v>independent invalidity and same root only</x:v>
      </x:c>
    </x:row>
    <x:row r="74">
      <x:c r="A74" s="21" t="str">
        <x:v>XT-070</x:v>
      </x:c>
      <x:c r="B74" s="21" t="str">
        <x:v>replacement</x:v>
      </x:c>
      <x:c r="C74" s="21" t="str">
        <x:v>INVALID</x:v>
      </x:c>
      <x:c r="D74" s="21" t="str">
        <x:v>SAME ROOT</x:v>
      </x:c>
      <x:c r="E74" s="21" t="str">
        <x:f>IF(AND(C74="INVALID",D74="SAME ROOT"),"ALLOW","PROHIBIT")</x:f>
        <x:v>ALLOW</x:v>
      </x:c>
      <x:c r="F74" s="21" t="str">
        <x:v>ALLOW</x:v>
      </x:c>
      <x:c r="G74" s="21" t="str">
        <x:f>IF(E74=F74,"PASS","FAIL")</x:f>
        <x:v>PASS</x:v>
      </x:c>
      <x:c r="H74" s="21" t="str">
        <x:v>independent invalidity and same root only</x:v>
      </x:c>
    </x:row>
    <x:row r="75">
      <x:c r="A75" s="21" t="str">
        <x:v>XT-071</x:v>
      </x:c>
      <x:c r="B75" s="21" t="str">
        <x:v>replacement</x:v>
      </x:c>
      <x:c r="C75" s="21" t="str">
        <x:v>VALID</x:v>
      </x:c>
      <x:c r="D75" s="21" t="str">
        <x:v>OTHER ROOT</x:v>
      </x:c>
      <x:c r="E75" s="21" t="str">
        <x:f>IF(AND(C75="INVALID",D75="SAME ROOT"),"ALLOW","PROHIBIT")</x:f>
        <x:v>PROHIBIT</x:v>
      </x:c>
      <x:c r="F75" s="21" t="str">
        <x:v>PROHIBIT</x:v>
      </x:c>
      <x:c r="G75" s="21" t="str">
        <x:f>IF(E75=F75,"PASS","FAIL")</x:f>
        <x:v>PASS</x:v>
      </x:c>
      <x:c r="H75" s="21" t="str">
        <x:v>independent invalidity and same root only</x:v>
      </x:c>
    </x:row>
    <x:row r="76">
      <x:c r="A76" s="21" t="str">
        <x:v>XT-072</x:v>
      </x:c>
      <x:c r="B76" s="21" t="str">
        <x:v>replacement</x:v>
      </x:c>
      <x:c r="C76" s="21" t="str">
        <x:v>ADVERSE</x:v>
      </x:c>
      <x:c r="D76" s="21" t="str">
        <x:v>OTHER ROOT</x:v>
      </x:c>
      <x:c r="E76" s="21" t="str">
        <x:f>IF(AND(C76="INVALID",D76="SAME ROOT"),"ALLOW","PROHIBIT")</x:f>
        <x:v>PROHIBIT</x:v>
      </x:c>
      <x:c r="F76" s="21" t="str">
        <x:v>PROHIBIT</x:v>
      </x:c>
      <x:c r="G76" s="21" t="str">
        <x:f>IF(E76=F76,"PASS","FAIL")</x:f>
        <x:v>PASS</x:v>
      </x:c>
      <x:c r="H76" s="21" t="str">
        <x:v>independent invalidity and same root only</x:v>
      </x:c>
    </x:row>
    <x:row r="77">
      <x:c r="A77" s="21" t="str">
        <x:v>XT-073</x:v>
      </x:c>
      <x:c r="B77" s="21" t="str">
        <x:v>pair return</x:v>
      </x:c>
      <x:c r="C77" s="21" t="n">
        <x:v>504</x:v>
      </x:c>
      <x:c r="D77" s="21" t="n">
        <x:v>14</x:v>
      </x:c>
      <x:c r="E77" s="21" t="str">
        <x:f>IF(AND(C77&gt;=Controls!B42,D77=Controls!B40),"AVAILABLE","BLOCKED")</x:f>
        <x:v>AVAILABLE</x:v>
      </x:c>
      <x:c r="F77" s="21" t="str">
        <x:v>AVAILABLE</x:v>
      </x:c>
      <x:c r="G77" s="21" t="str">
        <x:f>IF(E77=F77,"PASS","FAIL")</x:f>
        <x:v>PASS</x:v>
      </x:c>
      <x:c r="H77" s="21" t="str">
        <x:v>at least 504 hours and exactly 14 decisions</x:v>
      </x:c>
    </x:row>
    <x:row r="78">
      <x:c r="A78" s="21" t="str">
        <x:v>XT-074</x:v>
      </x:c>
      <x:c r="B78" s="21" t="str">
        <x:v>pair return</x:v>
      </x:c>
      <x:c r="C78" s="21" t="n">
        <x:v>503.9</x:v>
      </x:c>
      <x:c r="D78" s="21" t="n">
        <x:v>14</x:v>
      </x:c>
      <x:c r="E78" s="21" t="str">
        <x:f>IF(AND(C78&gt;=Controls!B42,D78=Controls!B40),"AVAILABLE","BLOCKED")</x:f>
        <x:v>BLOCKED</x:v>
      </x:c>
      <x:c r="F78" s="21" t="str">
        <x:v>BLOCKED</x:v>
      </x:c>
      <x:c r="G78" s="21" t="str">
        <x:f>IF(E78=F78,"PASS","FAIL")</x:f>
        <x:v>PASS</x:v>
      </x:c>
      <x:c r="H78" s="21" t="str">
        <x:v>at least 504 hours and exactly 14 decisions</x:v>
      </x:c>
    </x:row>
    <x:row r="79">
      <x:c r="A79" s="21" t="str">
        <x:v>XT-075</x:v>
      </x:c>
      <x:c r="B79" s="21" t="str">
        <x:v>pair return</x:v>
      </x:c>
      <x:c r="C79" s="21" t="n">
        <x:v>504</x:v>
      </x:c>
      <x:c r="D79" s="21" t="n">
        <x:v>13</x:v>
      </x:c>
      <x:c r="E79" s="21" t="str">
        <x:f>IF(AND(C79&gt;=Controls!B42,D79=Controls!B40),"AVAILABLE","BLOCKED")</x:f>
        <x:v>BLOCKED</x:v>
      </x:c>
      <x:c r="F79" s="21" t="str">
        <x:v>BLOCKED</x:v>
      </x:c>
      <x:c r="G79" s="21" t="str">
        <x:f>IF(E79=F79,"PASS","FAIL")</x:f>
        <x:v>PASS</x:v>
      </x:c>
      <x:c r="H79" s="21" t="str">
        <x:v>at least 504 hours and exactly 14 decisions</x:v>
      </x:c>
    </x:row>
    <x:row r="80">
      <x:c r="A80" s="21" t="str">
        <x:v>XT-076</x:v>
      </x:c>
      <x:c r="B80" s="21" t="str">
        <x:v>pair return</x:v>
      </x:c>
      <x:c r="C80" s="21" t="n">
        <x:v>600</x:v>
      </x:c>
      <x:c r="D80" s="21" t="n">
        <x:v>14</x:v>
      </x:c>
      <x:c r="E80" s="21" t="str">
        <x:f>IF(AND(C80&gt;=Controls!B42,D80=Controls!B40),"AVAILABLE","BLOCKED")</x:f>
        <x:v>AVAILABLE</x:v>
      </x:c>
      <x:c r="F80" s="21" t="str">
        <x:v>AVAILABLE</x:v>
      </x:c>
      <x:c r="G80" s="21" t="str">
        <x:f>IF(E80=F80,"PASS","FAIL")</x:f>
        <x:v>PASS</x:v>
      </x:c>
      <x:c r="H80" s="21" t="str">
        <x:v>at least 504 hours and exactly 14 decisions</x:v>
      </x:c>
    </x:row>
    <x:row r="81">
      <x:c r="A81" s="21" t="str">
        <x:v>XT-077</x:v>
      </x:c>
      <x:c r="B81" s="21" t="str">
        <x:v>pair return</x:v>
      </x:c>
      <x:c r="C81" s="21" t="n">
        <x:v>0</x:v>
      </x:c>
      <x:c r="D81" s="21" t="n">
        <x:v>14</x:v>
      </x:c>
      <x:c r="E81" s="21" t="str">
        <x:f>IF(AND(C81&gt;=Controls!B42,D81=Controls!B40),"AVAILABLE","BLOCKED")</x:f>
        <x:v>BLOCKED</x:v>
      </x:c>
      <x:c r="F81" s="21" t="str">
        <x:v>BLOCKED</x:v>
      </x:c>
      <x:c r="G81" s="21" t="str">
        <x:f>IF(E81=F81,"PASS","FAIL")</x:f>
        <x:v>PASS</x:v>
      </x:c>
      <x:c r="H81" s="21" t="str">
        <x:v>at least 504 hours and exactly 14 decisions</x:v>
      </x:c>
    </x:row>
    <x:row r="82">
      <x:c r="A82" s="21" t="str">
        <x:v>XT-078</x:v>
      </x:c>
      <x:c r="B82" s="21" t="str">
        <x:v>pair return</x:v>
      </x:c>
      <x:c r="C82" s="21" t="n">
        <x:v>504</x:v>
      </x:c>
      <x:c r="D82" s="21" t="n">
        <x:v>0</x:v>
      </x:c>
      <x:c r="E82" s="21" t="str">
        <x:f>IF(AND(C82&gt;=Controls!B42,D82=Controls!B40),"AVAILABLE","BLOCKED")</x:f>
        <x:v>BLOCKED</x:v>
      </x:c>
      <x:c r="F82" s="21" t="str">
        <x:v>BLOCKED</x:v>
      </x:c>
      <x:c r="G82" s="21" t="str">
        <x:f>IF(E82=F82,"PASS","FAIL")</x:f>
        <x:v>PASS</x:v>
      </x:c>
      <x:c r="H82" s="21" t="str">
        <x:v>at least 504 hours and exactly 14 decisions</x:v>
      </x:c>
    </x:row>
    <x:row r="83">
      <x:c r="A83" s="21" t="str">
        <x:v>XT-079</x:v>
      </x:c>
      <x:c r="B83" s="21" t="str">
        <x:v>pair return</x:v>
      </x:c>
      <x:c r="C83" s="21" t="n">
        <x:v>1000</x:v>
      </x:c>
      <x:c r="D83" s="21" t="n">
        <x:v>15</x:v>
      </x:c>
      <x:c r="E83" s="21" t="str">
        <x:f>IF(AND(C83&gt;=Controls!B42,D83=Controls!B40),"AVAILABLE","BLOCKED")</x:f>
        <x:v>BLOCKED</x:v>
      </x:c>
      <x:c r="F83" s="21" t="str">
        <x:v>BLOCKED</x:v>
      </x:c>
      <x:c r="G83" s="21" t="str">
        <x:f>IF(E83=F83,"PASS","FAIL")</x:f>
        <x:v>PASS</x:v>
      </x:c>
      <x:c r="H83" s="21" t="str">
        <x:v>at least 504 hours and exactly 14 decisions</x:v>
      </x:c>
    </x:row>
    <x:row r="84">
      <x:c r="A84" s="21" t="str">
        <x:v>XT-080</x:v>
      </x:c>
      <x:c r="B84" s="21" t="str">
        <x:v>pair return</x:v>
      </x:c>
      <x:c r="C84" s="21" t="n">
        <x:v>720</x:v>
      </x:c>
      <x:c r="D84" s="21" t="n">
        <x:v>14</x:v>
      </x:c>
      <x:c r="E84" s="21" t="str">
        <x:f>IF(AND(C84&gt;=Controls!B42,D84=Controls!B40),"AVAILABLE","BLOCKED")</x:f>
        <x:v>AVAILABLE</x:v>
      </x:c>
      <x:c r="F84" s="21" t="str">
        <x:v>AVAILABLE</x:v>
      </x:c>
      <x:c r="G84" s="21" t="str">
        <x:f>IF(E84=F84,"PASS","FAIL")</x:f>
        <x:v>PASS</x:v>
      </x:c>
      <x:c r="H84" s="21" t="str">
        <x:v>at least 504 hours and exactly 14 decisions</x:v>
      </x:c>
    </x:row>
    <x:row r="85">
      <x:c r="A85" s="21" t="str">
        <x:v>XT-081</x:v>
      </x:c>
      <x:c r="B85" s="21" t="str">
        <x:v>pair return</x:v>
      </x:c>
      <x:c r="C85" s="21" t="n">
        <x:v>336</x:v>
      </x:c>
      <x:c r="D85" s="21" t="n">
        <x:v>14</x:v>
      </x:c>
      <x:c r="E85" s="21" t="str">
        <x:f>IF(AND(C85&gt;=Controls!B42,D85=Controls!B40),"AVAILABLE","BLOCKED")</x:f>
        <x:v>BLOCKED</x:v>
      </x:c>
      <x:c r="F85" s="21" t="str">
        <x:v>BLOCKED</x:v>
      </x:c>
      <x:c r="G85" s="21" t="str">
        <x:f>IF(E85=F85,"PASS","FAIL")</x:f>
        <x:v>PASS</x:v>
      </x:c>
      <x:c r="H85" s="21" t="str">
        <x:v>at least 504 hours and exactly 14 decisions</x:v>
      </x:c>
    </x:row>
    <x:row r="86">
      <x:c r="A86" s="21" t="str">
        <x:v>XT-082</x:v>
      </x:c>
      <x:c r="B86" s="21" t="str">
        <x:v>pair return</x:v>
      </x:c>
      <x:c r="C86" s="21" t="n">
        <x:v>505</x:v>
      </x:c>
      <x:c r="D86" s="21" t="n">
        <x:v>14</x:v>
      </x:c>
      <x:c r="E86" s="21" t="str">
        <x:f>IF(AND(C86&gt;=Controls!B42,D86=Controls!B40),"AVAILABLE","BLOCKED")</x:f>
        <x:v>AVAILABLE</x:v>
      </x:c>
      <x:c r="F86" s="21" t="str">
        <x:v>AVAILABLE</x:v>
      </x:c>
      <x:c r="G86" s="21" t="str">
        <x:f>IF(E86=F86,"PASS","FAIL")</x:f>
        <x:v>PASS</x:v>
      </x:c>
      <x:c r="H86" s="21" t="str">
        <x:v>at least 504 hours and exactly 14 decisions</x:v>
      </x:c>
    </x:row>
    <x:row r="87">
      <x:c r="A87" s="21" t="str">
        <x:v>XT-083</x:v>
      </x:c>
      <x:c r="B87" s="21" t="str">
        <x:v>pair return</x:v>
      </x:c>
      <x:c r="C87" s="21" t="n">
        <x:v>10000</x:v>
      </x:c>
      <x:c r="D87" s="21" t="n">
        <x:v>14</x:v>
      </x:c>
      <x:c r="E87" s="21" t="str">
        <x:f>IF(AND(C87&gt;=Controls!B42,D87=Controls!B40),"AVAILABLE","BLOCKED")</x:f>
        <x:v>AVAILABLE</x:v>
      </x:c>
      <x:c r="F87" s="21" t="str">
        <x:v>AVAILABLE</x:v>
      </x:c>
      <x:c r="G87" s="21" t="str">
        <x:f>IF(E87=F87,"PASS","FAIL")</x:f>
        <x:v>PASS</x:v>
      </x:c>
      <x:c r="H87" s="21" t="str">
        <x:v>at least 504 hours and exactly 14 decisions</x:v>
      </x:c>
    </x:row>
    <x:row r="88">
      <x:c r="A88" s="21" t="str">
        <x:v>XT-084</x:v>
      </x:c>
      <x:c r="B88" s="21" t="str">
        <x:v>pair return</x:v>
      </x:c>
      <x:c r="C88" s="21" t="n">
        <x:v>-1</x:v>
      </x:c>
      <x:c r="D88" s="21" t="n">
        <x:v>14</x:v>
      </x:c>
      <x:c r="E88" s="21" t="str">
        <x:f>IF(AND(C88&gt;=Controls!B42,D88=Controls!B40),"AVAILABLE","BLOCKED")</x:f>
        <x:v>BLOCKED</x:v>
      </x:c>
      <x:c r="F88" s="21" t="str">
        <x:v>BLOCKED</x:v>
      </x:c>
      <x:c r="G88" s="21" t="str">
        <x:f>IF(E88=F88,"PASS","FAIL")</x:f>
        <x:v>PASS</x:v>
      </x:c>
      <x:c r="H88" s="21" t="str">
        <x:v>at least 504 hours and exactly 14 decisions</x:v>
      </x:c>
    </x:row>
    <x:row r="89">
      <x:c r="A89" s="21" t="str">
        <x:v>XT-085</x:v>
      </x:c>
      <x:c r="B89" s="21" t="str">
        <x:v>parent finance</x:v>
      </x:c>
      <x:c r="C89" s="21" t="n">
        <x:v>54</x:v>
      </x:c>
      <x:c r="D89" s="21" t="n">
        <x:v>12</x:v>
      </x:c>
      <x:c r="E89" s="21" t="str">
        <x:f>IF(AND(C89&gt;=0,D89&gt;=0,C89&lt;=122,D89&lt;=23),"PASS","FAIL")</x:f>
        <x:v>PASS</x:v>
      </x:c>
      <x:c r="F89" s="21" t="str">
        <x:v>PASS</x:v>
      </x:c>
      <x:c r="G89" s="21" t="str">
        <x:f>IF(E89=F89,"PASS","FAIL")</x:f>
        <x:v>PASS</x:v>
      </x:c>
      <x:c r="H89" s="21" t="str">
        <x:v>capital 0..122 and annual 0..23</x:v>
      </x:c>
    </x:row>
    <x:row r="90">
      <x:c r="A90" s="21" t="str">
        <x:v>XT-086</x:v>
      </x:c>
      <x:c r="B90" s="21" t="str">
        <x:v>parent finance</x:v>
      </x:c>
      <x:c r="C90" s="21" t="n">
        <x:v>122</x:v>
      </x:c>
      <x:c r="D90" s="21" t="n">
        <x:v>23</x:v>
      </x:c>
      <x:c r="E90" s="21" t="str">
        <x:f>IF(AND(C90&gt;=0,D90&gt;=0,C90&lt;=122,D90&lt;=23),"PASS","FAIL")</x:f>
        <x:v>PASS</x:v>
      </x:c>
      <x:c r="F90" s="21" t="str">
        <x:v>PASS</x:v>
      </x:c>
      <x:c r="G90" s="21" t="str">
        <x:f>IF(E90=F90,"PASS","FAIL")</x:f>
        <x:v>PASS</x:v>
      </x:c>
      <x:c r="H90" s="21" t="str">
        <x:v>capital 0..122 and annual 0..23</x:v>
      </x:c>
    </x:row>
    <x:row r="91">
      <x:c r="A91" s="21" t="str">
        <x:v>XT-087</x:v>
      </x:c>
      <x:c r="B91" s="21" t="str">
        <x:v>parent finance</x:v>
      </x:c>
      <x:c r="C91" s="21" t="n">
        <x:v>123</x:v>
      </x:c>
      <x:c r="D91" s="21" t="n">
        <x:v>23</x:v>
      </x:c>
      <x:c r="E91" s="21" t="str">
        <x:f>IF(AND(C91&gt;=0,D91&gt;=0,C91&lt;=122,D91&lt;=23),"PASS","FAIL")</x:f>
        <x:v>FAIL</x:v>
      </x:c>
      <x:c r="F91" s="21" t="str">
        <x:v>FAIL</x:v>
      </x:c>
      <x:c r="G91" s="21" t="str">
        <x:f>IF(E91=F91,"PASS","FAIL")</x:f>
        <x:v>PASS</x:v>
      </x:c>
      <x:c r="H91" s="21" t="str">
        <x:v>capital 0..122 and annual 0..23</x:v>
      </x:c>
    </x:row>
    <x:row r="92">
      <x:c r="A92" s="21" t="str">
        <x:v>XT-088</x:v>
      </x:c>
      <x:c r="B92" s="21" t="str">
        <x:v>parent finance</x:v>
      </x:c>
      <x:c r="C92" s="21" t="n">
        <x:v>54</x:v>
      </x:c>
      <x:c r="D92" s="21" t="n">
        <x:v>24</x:v>
      </x:c>
      <x:c r="E92" s="21" t="str">
        <x:f>IF(AND(C92&gt;=0,D92&gt;=0,C92&lt;=122,D92&lt;=23),"PASS","FAIL")</x:f>
        <x:v>FAIL</x:v>
      </x:c>
      <x:c r="F92" s="21" t="str">
        <x:v>FAIL</x:v>
      </x:c>
      <x:c r="G92" s="21" t="str">
        <x:f>IF(E92=F92,"PASS","FAIL")</x:f>
        <x:v>PASS</x:v>
      </x:c>
      <x:c r="H92" s="21" t="str">
        <x:v>capital 0..122 and annual 0..23</x:v>
      </x:c>
    </x:row>
    <x:row r="93">
      <x:c r="A93" s="21" t="str">
        <x:v>XT-089</x:v>
      </x:c>
      <x:c r="B93" s="21" t="str">
        <x:v>parent finance</x:v>
      </x:c>
      <x:c r="C93" s="21" t="n">
        <x:v>0</x:v>
      </x:c>
      <x:c r="D93" s="21" t="n">
        <x:v>0</x:v>
      </x:c>
      <x:c r="E93" s="21" t="str">
        <x:f>IF(AND(C93&gt;=0,D93&gt;=0,C93&lt;=122,D93&lt;=23),"PASS","FAIL")</x:f>
        <x:v>PASS</x:v>
      </x:c>
      <x:c r="F93" s="21" t="str">
        <x:v>PASS</x:v>
      </x:c>
      <x:c r="G93" s="21" t="str">
        <x:f>IF(E93=F93,"PASS","FAIL")</x:f>
        <x:v>PASS</x:v>
      </x:c>
      <x:c r="H93" s="21" t="str">
        <x:v>capital 0..122 and annual 0..23</x:v>
      </x:c>
    </x:row>
    <x:row r="94">
      <x:c r="A94" s="21" t="str">
        <x:v>XT-090</x:v>
      </x:c>
      <x:c r="B94" s="21" t="str">
        <x:v>parent finance</x:v>
      </x:c>
      <x:c r="C94" s="21" t="n">
        <x:v>-1</x:v>
      </x:c>
      <x:c r="D94" s="21" t="n">
        <x:v>12</x:v>
      </x:c>
      <x:c r="E94" s="21" t="str">
        <x:f>IF(AND(C94&gt;=0,D94&gt;=0,C94&lt;=122,D94&lt;=23),"PASS","FAIL")</x:f>
        <x:v>FAIL</x:v>
      </x:c>
      <x:c r="F94" s="21" t="str">
        <x:v>FAIL</x:v>
      </x:c>
      <x:c r="G94" s="21" t="str">
        <x:f>IF(E94=F94,"PASS","FAIL")</x:f>
        <x:v>PASS</x:v>
      </x:c>
      <x:c r="H94" s="21" t="str">
        <x:v>capital 0..122 and annual 0..23</x:v>
      </x:c>
    </x:row>
    <x:row r="95">
      <x:c r="A95" s="21" t="str">
        <x:v>XT-091</x:v>
      </x:c>
      <x:c r="B95" s="21" t="str">
        <x:v>parent finance</x:v>
      </x:c>
      <x:c r="C95" s="21" t="n">
        <x:v>122</x:v>
      </x:c>
      <x:c r="D95" s="21" t="n">
        <x:v>24</x:v>
      </x:c>
      <x:c r="E95" s="21" t="str">
        <x:f>IF(AND(C95&gt;=0,D95&gt;=0,C95&lt;=122,D95&lt;=23),"PASS","FAIL")</x:f>
        <x:v>FAIL</x:v>
      </x:c>
      <x:c r="F95" s="21" t="str">
        <x:v>FAIL</x:v>
      </x:c>
      <x:c r="G95" s="21" t="str">
        <x:f>IF(E95=F95,"PASS","FAIL")</x:f>
        <x:v>PASS</x:v>
      </x:c>
      <x:c r="H95" s="21" t="str">
        <x:v>capital 0..122 and annual 0..23</x:v>
      </x:c>
    </x:row>
    <x:row r="96">
      <x:c r="A96" s="21" t="str">
        <x:v>XT-092</x:v>
      </x:c>
      <x:c r="B96" s="21" t="str">
        <x:v>parent finance</x:v>
      </x:c>
      <x:c r="C96" s="21" t="n">
        <x:v>121</x:v>
      </x:c>
      <x:c r="D96" s="21" t="n">
        <x:v>22</x:v>
      </x:c>
      <x:c r="E96" s="21" t="str">
        <x:f>IF(AND(C96&gt;=0,D96&gt;=0,C96&lt;=122,D96&lt;=23),"PASS","FAIL")</x:f>
        <x:v>PASS</x:v>
      </x:c>
      <x:c r="F96" s="21" t="str">
        <x:v>PASS</x:v>
      </x:c>
      <x:c r="G96" s="21" t="str">
        <x:f>IF(E96=F96,"PASS","FAIL")</x:f>
        <x:v>PASS</x:v>
      </x:c>
      <x:c r="H96" s="21" t="str">
        <x:v>capital 0..122 and annual 0..23</x:v>
      </x:c>
    </x:row>
    <x:row r="97">
      <x:c r="A97" s="21" t="str">
        <x:v>XT-093</x:v>
      </x:c>
      <x:c r="B97" s="21" t="str">
        <x:v>eligibility</x:v>
      </x:c>
      <x:c r="C97" s="21" t="n">
        <x:v>12</x:v>
      </x:c>
      <x:c r="D97" s="21" t="n">
        <x:v>24</x:v>
      </x:c>
      <x:c r="E97" s="21" t="str">
        <x:f>IF(AND(C97=12,D97=24),"DRAW","BLOCKED")</x:f>
        <x:v>DRAW</x:v>
      </x:c>
      <x:c r="F97" s="21" t="str">
        <x:v>DRAW</x:v>
      </x:c>
      <x:c r="G97" s="21" t="str">
        <x:f>IF(E97=F97,"PASS","FAIL")</x:f>
        <x:v>PASS</x:v>
      </x:c>
      <x:c r="H97" s="21" t="str">
        <x:v>exactly 12 cells and 24 gates each</x:v>
      </x:c>
    </x:row>
    <x:row r="98">
      <x:c r="A98" s="21" t="str">
        <x:v>XT-094</x:v>
      </x:c>
      <x:c r="B98" s="21" t="str">
        <x:v>eligibility</x:v>
      </x:c>
      <x:c r="C98" s="21" t="n">
        <x:v>11</x:v>
      </x:c>
      <x:c r="D98" s="21" t="n">
        <x:v>24</x:v>
      </x:c>
      <x:c r="E98" s="21" t="str">
        <x:f>IF(AND(C98=12,D98=24),"DRAW","BLOCKED")</x:f>
        <x:v>BLOCKED</x:v>
      </x:c>
      <x:c r="F98" s="21" t="str">
        <x:v>BLOCKED</x:v>
      </x:c>
      <x:c r="G98" s="21" t="str">
        <x:f>IF(E98=F98,"PASS","FAIL")</x:f>
        <x:v>PASS</x:v>
      </x:c>
      <x:c r="H98" s="21" t="str">
        <x:v>exactly 12 cells and 24 gates each</x:v>
      </x:c>
    </x:row>
    <x:row r="99">
      <x:c r="A99" s="21" t="str">
        <x:v>XT-095</x:v>
      </x:c>
      <x:c r="B99" s="21" t="str">
        <x:v>eligibility</x:v>
      </x:c>
      <x:c r="C99" s="21" t="n">
        <x:v>12</x:v>
      </x:c>
      <x:c r="D99" s="21" t="n">
        <x:v>23</x:v>
      </x:c>
      <x:c r="E99" s="21" t="str">
        <x:f>IF(AND(C99=12,D99=24),"DRAW","BLOCKED")</x:f>
        <x:v>BLOCKED</x:v>
      </x:c>
      <x:c r="F99" s="21" t="str">
        <x:v>BLOCKED</x:v>
      </x:c>
      <x:c r="G99" s="21" t="str">
        <x:f>IF(E99=F99,"PASS","FAIL")</x:f>
        <x:v>PASS</x:v>
      </x:c>
      <x:c r="H99" s="21" t="str">
        <x:v>exactly 12 cells and 24 gates each</x:v>
      </x:c>
    </x:row>
    <x:row r="100">
      <x:c r="A100" s="21" t="str">
        <x:v>XT-096</x:v>
      </x:c>
      <x:c r="B100" s="21" t="str">
        <x:v>eligibility</x:v>
      </x:c>
      <x:c r="C100" s="21" t="n">
        <x:v>0</x:v>
      </x:c>
      <x:c r="D100" s="21" t="n">
        <x:v>24</x:v>
      </x:c>
      <x:c r="E100" s="21" t="str">
        <x:f>IF(AND(C100=12,D100=24),"DRAW","BLOCKED")</x:f>
        <x:v>BLOCKED</x:v>
      </x:c>
      <x:c r="F100" s="21" t="str">
        <x:v>BLOCKED</x:v>
      </x:c>
      <x:c r="G100" s="21" t="str">
        <x:f>IF(E100=F100,"PASS","FAIL")</x:f>
        <x:v>PASS</x:v>
      </x:c>
      <x:c r="H100" s="21" t="str">
        <x:v>exactly 12 cells and 24 gates each</x:v>
      </x:c>
    </x:row>
    <x:row r="101">
      <x:c r="A101" s="21" t="str">
        <x:v>XT-097</x:v>
      </x:c>
      <x:c r="B101" s="21" t="str">
        <x:v>eligibility</x:v>
      </x:c>
      <x:c r="C101" s="21" t="n">
        <x:v>13</x:v>
      </x:c>
      <x:c r="D101" s="21" t="n">
        <x:v>24</x:v>
      </x:c>
      <x:c r="E101" s="21" t="str">
        <x:f>IF(AND(C101=12,D101=24),"DRAW","BLOCKED")</x:f>
        <x:v>BLOCKED</x:v>
      </x:c>
      <x:c r="F101" s="21" t="str">
        <x:v>BLOCKED</x:v>
      </x:c>
      <x:c r="G101" s="21" t="str">
        <x:f>IF(E101=F101,"PASS","FAIL")</x:f>
        <x:v>PASS</x:v>
      </x:c>
      <x:c r="H101" s="21" t="str">
        <x:v>exactly 12 cells and 24 gates each</x:v>
      </x:c>
    </x:row>
    <x:row r="102">
      <x:c r="A102" s="21" t="str">
        <x:v>XT-098</x:v>
      </x:c>
      <x:c r="B102" s="21" t="str">
        <x:v>eligibility</x:v>
      </x:c>
      <x:c r="C102" s="21" t="n">
        <x:v>12</x:v>
      </x:c>
      <x:c r="D102" s="21" t="n">
        <x:v>25</x:v>
      </x:c>
      <x:c r="E102" s="21" t="str">
        <x:f>IF(AND(C102=12,D102=24),"DRAW","BLOCKED")</x:f>
        <x:v>BLOCKED</x:v>
      </x:c>
      <x:c r="F102" s="21" t="str">
        <x:v>BLOCKED</x:v>
      </x:c>
      <x:c r="G102" s="21" t="str">
        <x:f>IF(E102=F102,"PASS","FAIL")</x:f>
        <x:v>PASS</x:v>
      </x:c>
      <x:c r="H102" s="21" t="str">
        <x:v>exactly 12 cells and 24 gates each</x:v>
      </x:c>
    </x:row>
    <x:row r="103">
      <x:c r="A103" s="21" t="str">
        <x:v>XT-099</x:v>
      </x:c>
      <x:c r="B103" s="21" t="str">
        <x:v>eligibility</x:v>
      </x:c>
      <x:c r="C103" s="21" t="n">
        <x:v>12</x:v>
      </x:c>
      <x:c r="D103" s="21" t="n">
        <x:v>0</x:v>
      </x:c>
      <x:c r="E103" s="21" t="str">
        <x:f>IF(AND(C103=12,D103=24),"DRAW","BLOCKED")</x:f>
        <x:v>BLOCKED</x:v>
      </x:c>
      <x:c r="F103" s="21" t="str">
        <x:v>BLOCKED</x:v>
      </x:c>
      <x:c r="G103" s="21" t="str">
        <x:f>IF(E103=F103,"PASS","FAIL")</x:f>
        <x:v>PASS</x:v>
      </x:c>
      <x:c r="H103" s="21" t="str">
        <x:v>exactly 12 cells and 24 gates each</x:v>
      </x:c>
    </x:row>
    <x:row r="104">
      <x:c r="A104" s="21" t="str">
        <x:v>XT-100</x:v>
      </x:c>
      <x:c r="B104" s="21" t="str">
        <x:v>eligibility</x:v>
      </x:c>
      <x:c r="C104" s="21" t="n">
        <x:v>12</x:v>
      </x:c>
      <x:c r="D104" s="21" t="n">
        <x:v>24</x:v>
      </x:c>
      <x:c r="E104" s="21" t="str">
        <x:f>IF(AND(C104=12,D104=24),"DRAW","BLOCKED")</x:f>
        <x:v>DRAW</x:v>
      </x:c>
      <x:c r="F104" s="21" t="str">
        <x:v>DRAW</x:v>
      </x:c>
      <x:c r="G104" s="21" t="str">
        <x:f>IF(E104=F104,"PASS","FAIL")</x:f>
        <x:v>PASS</x:v>
      </x:c>
      <x:c r="H104" s="21" t="str">
        <x:v>exactly 12 cells and 24 gates each</x:v>
      </x:c>
    </x:row>
    <x:row r="105">
      <x:c r="A105" s="21" t="str">
        <x:v>XT-101</x:v>
      </x:c>
      <x:c r="B105" s="21" t="str">
        <x:v>event outcome</x:v>
      </x:c>
      <x:c r="C105" s="21" t="str">
        <x:v>VALID</x:v>
      </x:c>
      <x:c r="D105" s="21" t="str">
        <x:v>SUCCESS</x:v>
      </x:c>
      <x:c r="E105" s="21" t="str">
        <x:f>IF(C105="INVALID","REPLACE",IF(AND(C105="VALID",D105="SUCCESS"),"CREDIT","NO CREDIT"))</x:f>
        <x:v>CREDIT</x:v>
      </x:c>
      <x:c r="F105" s="21" t="str">
        <x:v>CREDIT</x:v>
      </x:c>
      <x:c r="G105" s="21" t="str">
        <x:f>IF(E105=F105,"PASS","FAIL")</x:f>
        <x:v>PASS</x:v>
      </x:c>
      <x:c r="H105" s="21" t="str">
        <x:v>valid success only earns credit</x:v>
      </x:c>
    </x:row>
    <x:row r="106">
      <x:c r="A106" s="21" t="str">
        <x:v>XT-102</x:v>
      </x:c>
      <x:c r="B106" s="21" t="str">
        <x:v>event outcome</x:v>
      </x:c>
      <x:c r="C106" s="21" t="str">
        <x:v>VALID</x:v>
      </x:c>
      <x:c r="D106" s="21" t="str">
        <x:v>ADVERSE</x:v>
      </x:c>
      <x:c r="E106" s="21" t="str">
        <x:f>IF(C106="INVALID","REPLACE",IF(AND(C106="VALID",D106="SUCCESS"),"CREDIT","NO CREDIT"))</x:f>
        <x:v>NO CREDIT</x:v>
      </x:c>
      <x:c r="F106" s="21" t="str">
        <x:v>NO CREDIT</x:v>
      </x:c>
      <x:c r="G106" s="21" t="str">
        <x:f>IF(E106=F106,"PASS","FAIL")</x:f>
        <x:v>PASS</x:v>
      </x:c>
      <x:c r="H106" s="21" t="str">
        <x:v>valid success only earns credit</x:v>
      </x:c>
    </x:row>
    <x:row r="107">
      <x:c r="A107" s="21" t="str">
        <x:v>XT-103</x:v>
      </x:c>
      <x:c r="B107" s="21" t="str">
        <x:v>event outcome</x:v>
      </x:c>
      <x:c r="C107" s="21" t="str">
        <x:v>INVALID</x:v>
      </x:c>
      <x:c r="D107" s="21" t="str">
        <x:v>SUCCESS</x:v>
      </x:c>
      <x:c r="E107" s="21" t="str">
        <x:f>IF(C107="INVALID","REPLACE",IF(AND(C107="VALID",D107="SUCCESS"),"CREDIT","NO CREDIT"))</x:f>
        <x:v>REPLACE</x:v>
      </x:c>
      <x:c r="F107" s="21" t="str">
        <x:v>REPLACE</x:v>
      </x:c>
      <x:c r="G107" s="21" t="str">
        <x:f>IF(E107=F107,"PASS","FAIL")</x:f>
        <x:v>PASS</x:v>
      </x:c>
      <x:c r="H107" s="21" t="str">
        <x:v>valid success only earns credit</x:v>
      </x:c>
    </x:row>
    <x:row r="108">
      <x:c r="A108" s="21" t="str">
        <x:v>XT-104</x:v>
      </x:c>
      <x:c r="B108" s="21" t="str">
        <x:v>event outcome</x:v>
      </x:c>
      <x:c r="C108" s="21" t="str">
        <x:v>INVALID</x:v>
      </x:c>
      <x:c r="D108" s="21" t="str">
        <x:v>ADVERSE</x:v>
      </x:c>
      <x:c r="E108" s="21" t="str">
        <x:f>IF(C108="INVALID","REPLACE",IF(AND(C108="VALID",D108="SUCCESS"),"CREDIT","NO CREDIT"))</x:f>
        <x:v>REPLACE</x:v>
      </x:c>
      <x:c r="F108" s="21" t="str">
        <x:v>REPLACE</x:v>
      </x:c>
      <x:c r="G108" s="21" t="str">
        <x:f>IF(E108=F108,"PASS","FAIL")</x:f>
        <x:v>PASS</x:v>
      </x:c>
      <x:c r="H108" s="21" t="str">
        <x:v>valid success only earns credit</x:v>
      </x:c>
    </x:row>
    <x:row r="109">
      <x:c r="A109" s="21" t="str">
        <x:v>XT-105</x:v>
      </x:c>
      <x:c r="B109" s="21" t="str">
        <x:v>event outcome</x:v>
      </x:c>
      <x:c r="C109" s="21" t="str">
        <x:v>OPEN</x:v>
      </x:c>
      <x:c r="D109" s="21" t="str">
        <x:v>OPEN</x:v>
      </x:c>
      <x:c r="E109" s="21" t="str">
        <x:f>IF(C109="INVALID","REPLACE",IF(AND(C109="VALID",D109="SUCCESS"),"CREDIT","NO CREDIT"))</x:f>
        <x:v>NO CREDIT</x:v>
      </x:c>
      <x:c r="F109" s="21" t="str">
        <x:v>NO CREDIT</x:v>
      </x:c>
      <x:c r="G109" s="21" t="str">
        <x:f>IF(E109=F109,"PASS","FAIL")</x:f>
        <x:v>PASS</x:v>
      </x:c>
      <x:c r="H109" s="21" t="str">
        <x:v>valid success only earns credit</x:v>
      </x:c>
    </x:row>
    <x:row r="110">
      <x:c r="A110" s="21" t="str">
        <x:v>XT-106</x:v>
      </x:c>
      <x:c r="B110" s="21" t="str">
        <x:v>event outcome</x:v>
      </x:c>
      <x:c r="C110" s="21" t="str">
        <x:v>VALID</x:v>
      </x:c>
      <x:c r="D110" s="21" t="str">
        <x:v>SUCCESS</x:v>
      </x:c>
      <x:c r="E110" s="21" t="str">
        <x:f>IF(C110="INVALID","REPLACE",IF(AND(C110="VALID",D110="SUCCESS"),"CREDIT","NO CREDIT"))</x:f>
        <x:v>CREDIT</x:v>
      </x:c>
      <x:c r="F110" s="21" t="str">
        <x:v>CREDIT</x:v>
      </x:c>
      <x:c r="G110" s="21" t="str">
        <x:f>IF(E110=F110,"PASS","FAIL")</x:f>
        <x:v>PASS</x:v>
      </x:c>
      <x:c r="H110" s="21" t="str">
        <x:v>valid success only earns credit</x:v>
      </x:c>
    </x:row>
    <x:row r="111">
      <x:c r="A111" s="21" t="str">
        <x:v>XT-107</x:v>
      </x:c>
      <x:c r="B111" s="21" t="str">
        <x:v>event outcome</x:v>
      </x:c>
      <x:c r="C111" s="21" t="str">
        <x:v>VALID</x:v>
      </x:c>
      <x:c r="D111" s="21" t="str">
        <x:v>INVALID</x:v>
      </x:c>
      <x:c r="E111" s="21" t="str">
        <x:f>IF(C111="INVALID","REPLACE",IF(AND(C111="VALID",D111="SUCCESS"),"CREDIT","NO CREDIT"))</x:f>
        <x:v>NO CREDIT</x:v>
      </x:c>
      <x:c r="F111" s="21" t="str">
        <x:v>NO CREDIT</x:v>
      </x:c>
      <x:c r="G111" s="21" t="str">
        <x:f>IF(E111=F111,"PASS","FAIL")</x:f>
        <x:v>PASS</x:v>
      </x:c>
      <x:c r="H111" s="21" t="str">
        <x:v>valid success only earns credit</x:v>
      </x:c>
    </x:row>
    <x:row r="112">
      <x:c r="A112" s="21" t="str">
        <x:v>XT-108</x:v>
      </x:c>
      <x:c r="B112" s="21" t="str">
        <x:v>event outcome</x:v>
      </x:c>
      <x:c r="C112" s="21" t="str">
        <x:v>INVALID</x:v>
      </x:c>
      <x:c r="D112" s="21" t="str">
        <x:v>OPEN</x:v>
      </x:c>
      <x:c r="E112" s="21" t="str">
        <x:f>IF(C112="INVALID","REPLACE",IF(AND(C112="VALID",D112="SUCCESS"),"CREDIT","NO CREDIT"))</x:f>
        <x:v>REPLACE</x:v>
      </x:c>
      <x:c r="F112" s="21" t="str">
        <x:v>REPLACE</x:v>
      </x:c>
      <x:c r="G112" s="21" t="str">
        <x:f>IF(E112=F112,"PASS","FAIL")</x:f>
        <x:v>PASS</x:v>
      </x:c>
      <x:c r="H112" s="21" t="str">
        <x:v>valid success only earns credit</x:v>
      </x:c>
    </x:row>
    <x:row r="113">
      <x:c r="A113" s="21" t="str">
        <x:v>XT-109</x:v>
      </x:c>
      <x:c r="B113" s="21" t="str">
        <x:v>draw modulo</x:v>
      </x:c>
      <x:c r="C113" s="21" t="n">
        <x:v>0</x:v>
      </x:c>
      <x:c r="D113" s="21" t="n">
        <x:v>12</x:v>
      </x:c>
      <x:c r="E113" s="21" t="n">
        <x:f>1+MOD(C113,D113)</x:f>
        <x:v>1</x:v>
      </x:c>
      <x:c r="F113" s="21" t="n">
        <x:v>1</x:v>
      </x:c>
      <x:c r="G113" s="21" t="str">
        <x:f>IF(E113=F113,"PASS","FAIL")</x:f>
        <x:v>PASS</x:v>
      </x:c>
      <x:c r="H113" s="21" t="str">
        <x:v>one plus reveal sum modulo cell count</x:v>
      </x:c>
    </x:row>
    <x:row r="114">
      <x:c r="A114" s="21" t="str">
        <x:v>XT-110</x:v>
      </x:c>
      <x:c r="B114" s="21" t="str">
        <x:v>draw modulo</x:v>
      </x:c>
      <x:c r="C114" s="21" t="n">
        <x:v>2</x:v>
      </x:c>
      <x:c r="D114" s="21" t="n">
        <x:v>12</x:v>
      </x:c>
      <x:c r="E114" s="21" t="n">
        <x:f>1+MOD(C114,D114)</x:f>
        <x:v>3</x:v>
      </x:c>
      <x:c r="F114" s="21" t="n">
        <x:v>3</x:v>
      </x:c>
      <x:c r="G114" s="21" t="str">
        <x:f>IF(E114=F114,"PASS","FAIL")</x:f>
        <x:v>PASS</x:v>
      </x:c>
      <x:c r="H114" s="21" t="str">
        <x:v>one plus reveal sum modulo cell count</x:v>
      </x:c>
    </x:row>
    <x:row r="115">
      <x:c r="A115" s="21" t="str">
        <x:v>XT-111</x:v>
      </x:c>
      <x:c r="B115" s="21" t="str">
        <x:v>draw modulo</x:v>
      </x:c>
      <x:c r="C115" s="21" t="n">
        <x:v>4</x:v>
      </x:c>
      <x:c r="D115" s="21" t="n">
        <x:v>12</x:v>
      </x:c>
      <x:c r="E115" s="21" t="n">
        <x:f>1+MOD(C115,D115)</x:f>
        <x:v>5</x:v>
      </x:c>
      <x:c r="F115" s="21" t="n">
        <x:v>5</x:v>
      </x:c>
      <x:c r="G115" s="21" t="str">
        <x:f>IF(E115=F115,"PASS","FAIL")</x:f>
        <x:v>PASS</x:v>
      </x:c>
      <x:c r="H115" s="21" t="str">
        <x:v>one plus reveal sum modulo cell count</x:v>
      </x:c>
    </x:row>
    <x:row r="116">
      <x:c r="A116" s="21" t="str">
        <x:v>XT-112</x:v>
      </x:c>
      <x:c r="B116" s="21" t="str">
        <x:v>draw modulo</x:v>
      </x:c>
      <x:c r="C116" s="21" t="n">
        <x:v>6</x:v>
      </x:c>
      <x:c r="D116" s="21" t="n">
        <x:v>12</x:v>
      </x:c>
      <x:c r="E116" s="21" t="n">
        <x:f>1+MOD(C116,D116)</x:f>
        <x:v>7</x:v>
      </x:c>
      <x:c r="F116" s="21" t="n">
        <x:v>7</x:v>
      </x:c>
      <x:c r="G116" s="21" t="str">
        <x:f>IF(E116=F116,"PASS","FAIL")</x:f>
        <x:v>PASS</x:v>
      </x:c>
      <x:c r="H116" s="21" t="str">
        <x:v>one plus reveal sum modulo cell count</x:v>
      </x:c>
    </x:row>
    <x:row r="117">
      <x:c r="A117" s="21" t="str">
        <x:v>XT-113</x:v>
      </x:c>
      <x:c r="B117" s="21" t="str">
        <x:v>draw modulo</x:v>
      </x:c>
      <x:c r="C117" s="21" t="n">
        <x:v>8</x:v>
      </x:c>
      <x:c r="D117" s="21" t="n">
        <x:v>12</x:v>
      </x:c>
      <x:c r="E117" s="21" t="n">
        <x:f>1+MOD(C117,D117)</x:f>
        <x:v>9</x:v>
      </x:c>
      <x:c r="F117" s="21" t="n">
        <x:v>9</x:v>
      </x:c>
      <x:c r="G117" s="21" t="str">
        <x:f>IF(E117=F117,"PASS","FAIL")</x:f>
        <x:v>PASS</x:v>
      </x:c>
      <x:c r="H117" s="21" t="str">
        <x:v>one plus reveal sum modulo cell count</x:v>
      </x:c>
    </x:row>
    <x:row r="118">
      <x:c r="A118" s="21" t="str">
        <x:v>XT-114</x:v>
      </x:c>
      <x:c r="B118" s="21" t="str">
        <x:v>draw modulo</x:v>
      </x:c>
      <x:c r="C118" s="21" t="n">
        <x:v>10</x:v>
      </x:c>
      <x:c r="D118" s="21" t="n">
        <x:v>12</x:v>
      </x:c>
      <x:c r="E118" s="21" t="n">
        <x:f>1+MOD(C118,D118)</x:f>
        <x:v>11</x:v>
      </x:c>
      <x:c r="F118" s="21" t="n">
        <x:v>11</x:v>
      </x:c>
      <x:c r="G118" s="21" t="str">
        <x:f>IF(E118=F118,"PASS","FAIL")</x:f>
        <x:v>PASS</x:v>
      </x:c>
      <x:c r="H118" s="21" t="str">
        <x:v>one plus reveal sum modulo cell count</x:v>
      </x:c>
    </x:row>
    <x:row r="119">
      <x:c r="A119" s="21" t="str">
        <x:v>XT-115</x:v>
      </x:c>
      <x:c r="B119" s="21" t="str">
        <x:v>draw modulo</x:v>
      </x:c>
      <x:c r="C119" s="21" t="n">
        <x:v>12</x:v>
      </x:c>
      <x:c r="D119" s="21" t="n">
        <x:v>12</x:v>
      </x:c>
      <x:c r="E119" s="21" t="n">
        <x:f>1+MOD(C119,D119)</x:f>
        <x:v>1</x:v>
      </x:c>
      <x:c r="F119" s="21" t="n">
        <x:v>1</x:v>
      </x:c>
      <x:c r="G119" s="21" t="str">
        <x:f>IF(E119=F119,"PASS","FAIL")</x:f>
        <x:v>PASS</x:v>
      </x:c>
      <x:c r="H119" s="21" t="str">
        <x:v>one plus reveal sum modulo cell count</x:v>
      </x:c>
    </x:row>
    <x:row r="120">
      <x:c r="A120" s="21" t="str">
        <x:v>XT-116</x:v>
      </x:c>
      <x:c r="B120" s="21" t="str">
        <x:v>draw modulo</x:v>
      </x:c>
      <x:c r="C120" s="21" t="n">
        <x:v>14</x:v>
      </x:c>
      <x:c r="D120" s="21" t="n">
        <x:v>12</x:v>
      </x:c>
      <x:c r="E120" s="21" t="n">
        <x:f>1+MOD(C120,D120)</x:f>
        <x:v>3</x:v>
      </x:c>
      <x:c r="F120" s="21" t="n">
        <x:v>3</x:v>
      </x:c>
      <x:c r="G120" s="21" t="str">
        <x:f>IF(E120=F120,"PASS","FAIL")</x:f>
        <x:v>PASS</x:v>
      </x:c>
      <x:c r="H120" s="21" t="str">
        <x:v>one plus reveal sum modulo cell count</x:v>
      </x:c>
    </x:row>
    <x:row r="121">
      <x:c r="A121" s="21" t="str">
        <x:v>XT-117</x:v>
      </x:c>
      <x:c r="B121" s="21" t="str">
        <x:v>draw modulo</x:v>
      </x:c>
      <x:c r="C121" s="21" t="n">
        <x:v>16</x:v>
      </x:c>
      <x:c r="D121" s="21" t="n">
        <x:v>12</x:v>
      </x:c>
      <x:c r="E121" s="21" t="n">
        <x:f>1+MOD(C121,D121)</x:f>
        <x:v>5</x:v>
      </x:c>
      <x:c r="F121" s="21" t="n">
        <x:v>5</x:v>
      </x:c>
      <x:c r="G121" s="21" t="str">
        <x:f>IF(E121=F121,"PASS","FAIL")</x:f>
        <x:v>PASS</x:v>
      </x:c>
      <x:c r="H121" s="21" t="str">
        <x:v>one plus reveal sum modulo cell count</x:v>
      </x:c>
    </x:row>
    <x:row r="122">
      <x:c r="A122" s="21" t="str">
        <x:v>XT-118</x:v>
      </x:c>
      <x:c r="B122" s="21" t="str">
        <x:v>draw modulo</x:v>
      </x:c>
      <x:c r="C122" s="21" t="n">
        <x:v>18</x:v>
      </x:c>
      <x:c r="D122" s="21" t="n">
        <x:v>12</x:v>
      </x:c>
      <x:c r="E122" s="21" t="n">
        <x:f>1+MOD(C122,D122)</x:f>
        <x:v>7</x:v>
      </x:c>
      <x:c r="F122" s="21" t="n">
        <x:v>7</x:v>
      </x:c>
      <x:c r="G122" s="21" t="str">
        <x:f>IF(E122=F122,"PASS","FAIL")</x:f>
        <x:v>PASS</x:v>
      </x:c>
      <x:c r="H122" s="21" t="str">
        <x:v>one plus reveal sum modulo cell count</x:v>
      </x:c>
    </x:row>
    <x:row r="123">
      <x:c r="A123" s="21" t="str">
        <x:v>XT-119</x:v>
      </x:c>
      <x:c r="B123" s="21" t="str">
        <x:v>draw modulo</x:v>
      </x:c>
      <x:c r="C123" s="21" t="n">
        <x:v>20</x:v>
      </x:c>
      <x:c r="D123" s="21" t="n">
        <x:v>12</x:v>
      </x:c>
      <x:c r="E123" s="21" t="n">
        <x:f>1+MOD(C123,D123)</x:f>
        <x:v>9</x:v>
      </x:c>
      <x:c r="F123" s="21" t="n">
        <x:v>9</x:v>
      </x:c>
      <x:c r="G123" s="21" t="str">
        <x:f>IF(E123=F123,"PASS","FAIL")</x:f>
        <x:v>PASS</x:v>
      </x:c>
      <x:c r="H123" s="21" t="str">
        <x:v>one plus reveal sum modulo cell count</x:v>
      </x:c>
    </x:row>
    <x:row r="124">
      <x:c r="A124" s="21" t="str">
        <x:v>XT-120</x:v>
      </x:c>
      <x:c r="B124" s="21" t="str">
        <x:v>draw modulo</x:v>
      </x:c>
      <x:c r="C124" s="21" t="n">
        <x:v>22</x:v>
      </x:c>
      <x:c r="D124" s="21" t="n">
        <x:v>12</x:v>
      </x:c>
      <x:c r="E124" s="21" t="n">
        <x:f>1+MOD(C124,D124)</x:f>
        <x:v>11</x:v>
      </x:c>
      <x:c r="F124" s="21" t="n">
        <x:v>11</x:v>
      </x:c>
      <x:c r="G124" s="21" t="str">
        <x:f>IF(E124=F124,"PASS","FAIL")</x:f>
        <x:v>PASS</x:v>
      </x:c>
      <x:c r="H124" s="21" t="str">
        <x:v>one plus reveal sum modulo cell count</x:v>
      </x:c>
    </x:row>
    <x:row r="125">
      <x:c r="A125" s="21" t="str">
        <x:v>XT-121</x:v>
      </x:c>
      <x:c r="B125" s="21" t="str">
        <x:v>package split</x:v>
      </x:c>
      <x:c r="C125" s="21" t="n">
        <x:v>250</x:v>
      </x:c>
      <x:c r="D125" s="21" t="n">
        <x:v>50</x:v>
      </x:c>
      <x:c r="E125" s="21" t="str">
        <x:f>IF(AND(C125&gt;=0,D125&gt;=0,C125+D125=Controls!B53),"PASS","FAIL")</x:f>
        <x:v>PASS</x:v>
      </x:c>
      <x:c r="F125" s="21" t="str">
        <x:v>PASS</x:v>
      </x:c>
      <x:c r="G125" s="21" t="str">
        <x:f>IF(E125=F125,"PASS","FAIL")</x:f>
        <x:v>PASS</x:v>
      </x:c>
      <x:c r="H125" s="21" t="str">
        <x:v>nonnegative allocations sum to exactly 300</x:v>
      </x:c>
    </x:row>
    <x:row r="126">
      <x:c r="A126" s="21" t="str">
        <x:v>XT-122</x:v>
      </x:c>
      <x:c r="B126" s="21" t="str">
        <x:v>package split</x:v>
      </x:c>
      <x:c r="C126" s="21" t="n">
        <x:v>250</x:v>
      </x:c>
      <x:c r="D126" s="21" t="n">
        <x:v>49.9</x:v>
      </x:c>
      <x:c r="E126" s="21" t="str">
        <x:f>IF(AND(C126&gt;=0,D126&gt;=0,C126+D126=Controls!B53),"PASS","FAIL")</x:f>
        <x:v>FAIL</x:v>
      </x:c>
      <x:c r="F126" s="21" t="str">
        <x:v>FAIL</x:v>
      </x:c>
      <x:c r="G126" s="21" t="str">
        <x:f>IF(E126=F126,"PASS","FAIL")</x:f>
        <x:v>PASS</x:v>
      </x:c>
      <x:c r="H126" s="21" t="str">
        <x:v>nonnegative allocations sum to exactly 300</x:v>
      </x:c>
    </x:row>
    <x:row r="127">
      <x:c r="A127" s="21" t="str">
        <x:v>XT-123</x:v>
      </x:c>
      <x:c r="B127" s="21" t="str">
        <x:v>package split</x:v>
      </x:c>
      <x:c r="C127" s="21" t="n">
        <x:v>251</x:v>
      </x:c>
      <x:c r="D127" s="21" t="n">
        <x:v>49</x:v>
      </x:c>
      <x:c r="E127" s="21" t="str">
        <x:f>IF(AND(C127&gt;=0,D127&gt;=0,C127+D127=Controls!B53),"PASS","FAIL")</x:f>
        <x:v>PASS</x:v>
      </x:c>
      <x:c r="F127" s="21" t="str">
        <x:v>PASS</x:v>
      </x:c>
      <x:c r="G127" s="21" t="str">
        <x:f>IF(E127=F127,"PASS","FAIL")</x:f>
        <x:v>PASS</x:v>
      </x:c>
      <x:c r="H127" s="21" t="str">
        <x:v>nonnegative allocations sum to exactly 300</x:v>
      </x:c>
    </x:row>
    <x:row r="128">
      <x:c r="A128" s="21" t="str">
        <x:v>XT-124</x:v>
      </x:c>
      <x:c r="B128" s="21" t="str">
        <x:v>package split</x:v>
      </x:c>
      <x:c r="C128" s="21" t="n">
        <x:v>250</x:v>
      </x:c>
      <x:c r="D128" s="21" t="n">
        <x:v>60</x:v>
      </x:c>
      <x:c r="E128" s="21" t="str">
        <x:f>IF(AND(C128&gt;=0,D128&gt;=0,C128+D128=Controls!B53),"PASS","FAIL")</x:f>
        <x:v>FAIL</x:v>
      </x:c>
      <x:c r="F128" s="21" t="str">
        <x:v>FAIL</x:v>
      </x:c>
      <x:c r="G128" s="21" t="str">
        <x:f>IF(E128=F128,"PASS","FAIL")</x:f>
        <x:v>PASS</x:v>
      </x:c>
      <x:c r="H128" s="21" t="str">
        <x:v>nonnegative allocations sum to exactly 300</x:v>
      </x:c>
    </x:row>
    <x:row r="129">
      <x:c r="A129" s="21" t="str">
        <x:v>XT-125</x:v>
      </x:c>
      <x:c r="B129" s="21" t="str">
        <x:v>package split</x:v>
      </x:c>
      <x:c r="C129" s="21" t="n">
        <x:v>249</x:v>
      </x:c>
      <x:c r="D129" s="21" t="n">
        <x:v>51</x:v>
      </x:c>
      <x:c r="E129" s="21" t="str">
        <x:f>IF(AND(C129&gt;=0,D129&gt;=0,C129+D129=Controls!B53),"PASS","FAIL")</x:f>
        <x:v>PASS</x:v>
      </x:c>
      <x:c r="F129" s="21" t="str">
        <x:v>PASS</x:v>
      </x:c>
      <x:c r="G129" s="21" t="str">
        <x:f>IF(E129=F129,"PASS","FAIL")</x:f>
        <x:v>PASS</x:v>
      </x:c>
      <x:c r="H129" s="21" t="str">
        <x:v>nonnegative allocations sum to exactly 300</x:v>
      </x:c>
    </x:row>
    <x:row r="130">
      <x:c r="A130" s="21" t="str">
        <x:v>XT-126</x:v>
      </x:c>
      <x:c r="B130" s="21" t="str">
        <x:v>package split</x:v>
      </x:c>
      <x:c r="C130" s="21" t="n">
        <x:v>300</x:v>
      </x:c>
      <x:c r="D130" s="21" t="n">
        <x:v>0</x:v>
      </x:c>
      <x:c r="E130" s="21" t="str">
        <x:f>IF(AND(C130&gt;=0,D130&gt;=0,C130+D130=Controls!B53),"PASS","FAIL")</x:f>
        <x:v>PASS</x:v>
      </x:c>
      <x:c r="F130" s="21" t="str">
        <x:v>PASS</x:v>
      </x:c>
      <x:c r="G130" s="21" t="str">
        <x:f>IF(E130=F130,"PASS","FAIL")</x:f>
        <x:v>PASS</x:v>
      </x:c>
      <x:c r="H130" s="21" t="str">
        <x:v>nonnegative allocations sum to exactly 300</x:v>
      </x:c>
    </x:row>
    <x:row r="131">
      <x:c r="A131" s="21" t="str">
        <x:v>XT-127</x:v>
      </x:c>
      <x:c r="B131" s="21" t="str">
        <x:v>package split</x:v>
      </x:c>
      <x:c r="C131" s="21" t="n">
        <x:v>0</x:v>
      </x:c>
      <x:c r="D131" s="21" t="n">
        <x:v>300</x:v>
      </x:c>
      <x:c r="E131" s="21" t="str">
        <x:f>IF(AND(C131&gt;=0,D131&gt;=0,C131+D131=Controls!B53),"PASS","FAIL")</x:f>
        <x:v>PASS</x:v>
      </x:c>
      <x:c r="F131" s="21" t="str">
        <x:v>PASS</x:v>
      </x:c>
      <x:c r="G131" s="21" t="str">
        <x:f>IF(E131=F131,"PASS","FAIL")</x:f>
        <x:v>PASS</x:v>
      </x:c>
      <x:c r="H131" s="21" t="str">
        <x:v>nonnegative allocations sum to exactly 300</x:v>
      </x:c>
    </x:row>
    <x:row r="132">
      <x:c r="A132" s="21" t="str">
        <x:v>XT-128</x:v>
      </x:c>
      <x:c r="B132" s="21" t="str">
        <x:v>package split</x:v>
      </x:c>
      <x:c r="C132" s="21" t="n">
        <x:v>250</x:v>
      </x:c>
      <x:c r="D132" s="21" t="n">
        <x:v>55</x:v>
      </x:c>
      <x:c r="E132" s="21" t="str">
        <x:f>IF(AND(C132&gt;=0,D132&gt;=0,C132+D132=Controls!B53),"PASS","FAIL")</x:f>
        <x:v>FAIL</x:v>
      </x:c>
      <x:c r="F132" s="21" t="str">
        <x:v>FAIL</x:v>
      </x:c>
      <x:c r="G132" s="21" t="str">
        <x:f>IF(E132=F132,"PASS","FAIL")</x:f>
        <x:v>PASS</x:v>
      </x:c>
      <x:c r="H132" s="21" t="str">
        <x:v>nonnegative allocations sum to exactly 300</x:v>
      </x:c>
    </x:row>
    <x:row r="133">
      <x:c r="A133" s="21" t="str">
        <x:v>XT-129</x:v>
      </x:c>
      <x:c r="B133" s="21" t="str">
        <x:v>package split</x:v>
      </x:c>
      <x:c r="C133" s="21" t="n">
        <x:v>240</x:v>
      </x:c>
      <x:c r="D133" s="21" t="n">
        <x:v>60</x:v>
      </x:c>
      <x:c r="E133" s="21" t="str">
        <x:f>IF(AND(C133&gt;=0,D133&gt;=0,C133+D133=Controls!B53),"PASS","FAIL")</x:f>
        <x:v>PASS</x:v>
      </x:c>
      <x:c r="F133" s="21" t="str">
        <x:v>PASS</x:v>
      </x:c>
      <x:c r="G133" s="21" t="str">
        <x:f>IF(E133=F133,"PASS","FAIL")</x:f>
        <x:v>PASS</x:v>
      </x:c>
      <x:c r="H133" s="21" t="str">
        <x:v>nonnegative allocations sum to exactly 300</x:v>
      </x:c>
    </x:row>
    <x:row r="134">
      <x:c r="A134" s="21" t="str">
        <x:v>XT-130</x:v>
      </x:c>
      <x:c r="B134" s="21" t="str">
        <x:v>package split</x:v>
      </x:c>
      <x:c r="C134" s="21" t="n">
        <x:v>260</x:v>
      </x:c>
      <x:c r="D134" s="21" t="n">
        <x:v>40</x:v>
      </x:c>
      <x:c r="E134" s="21" t="str">
        <x:f>IF(AND(C134&gt;=0,D134&gt;=0,C134+D134=Controls!B53),"PASS","FAIL")</x:f>
        <x:v>PASS</x:v>
      </x:c>
      <x:c r="F134" s="21" t="str">
        <x:v>PASS</x:v>
      </x:c>
      <x:c r="G134" s="21" t="str">
        <x:f>IF(E134=F134,"PASS","FAIL")</x:f>
        <x:v>PASS</x:v>
      </x:c>
      <x:c r="H134" s="21" t="str">
        <x:v>nonnegative allocations sum to exactly 300</x:v>
      </x:c>
    </x:row>
    <x:row r="135">
      <x:c r="A135" s="21" t="str">
        <x:v>XT-131</x:v>
      </x:c>
      <x:c r="B135" s="21" t="str">
        <x:v>package split</x:v>
      </x:c>
      <x:c r="C135" s="21" t="n">
        <x:v>250</x:v>
      </x:c>
      <x:c r="D135" s="21" t="n">
        <x:v>50</x:v>
      </x:c>
      <x:c r="E135" s="21" t="str">
        <x:f>IF(AND(C135&gt;=0,D135&gt;=0,C135+D135=Controls!B53),"PASS","FAIL")</x:f>
        <x:v>PASS</x:v>
      </x:c>
      <x:c r="F135" s="21" t="str">
        <x:v>PASS</x:v>
      </x:c>
      <x:c r="G135" s="21" t="str">
        <x:f>IF(E135=F135,"PASS","FAIL")</x:f>
        <x:v>PASS</x:v>
      </x:c>
      <x:c r="H135" s="21" t="str">
        <x:v>nonnegative allocations sum to exactly 300</x:v>
      </x:c>
    </x:row>
    <x:row r="136">
      <x:c r="A136" s="21" t="str">
        <x:v>XT-132</x:v>
      </x:c>
      <x:c r="B136" s="21" t="str">
        <x:v>package split</x:v>
      </x:c>
      <x:c r="C136" s="21" t="n">
        <x:v>250</x:v>
      </x:c>
      <x:c r="D136" s="21" t="n">
        <x:v>-1</x:v>
      </x:c>
      <x:c r="E136" s="21" t="str">
        <x:f>IF(AND(C136&gt;=0,D136&gt;=0,C136+D136=Controls!B53),"PASS","FAIL")</x:f>
        <x:v>FAIL</x:v>
      </x:c>
      <x:c r="F136" s="21" t="str">
        <x:v>FAIL</x:v>
      </x:c>
      <x:c r="G136" s="21" t="str">
        <x:f>IF(E136=F136,"PASS","FAIL")</x:f>
        <x:v>PASS</x:v>
      </x:c>
      <x:c r="H136" s="21" t="str">
        <x:v>nonnegative allocations sum to exactly 300</x:v>
      </x:c>
    </x:row>
    <x:row r="137">
      <x:c r="A137" s="21" t="str">
        <x:v>XT-133</x:v>
      </x:c>
      <x:c r="B137" s="21" t="str">
        <x:v>next authority</x:v>
      </x:c>
      <x:c r="C137" s="21" t="n">
        <x:v>1</x:v>
      </x:c>
      <x:c r="D137" s="21" t="n">
        <x:v>1</x:v>
      </x:c>
      <x:c r="E137" s="21" t="str">
        <x:f>IF(AND(C137=1,D137=1),"PERMIT RBD-1","BLOCKED")</x:f>
        <x:v>PERMIT RBD-1</x:v>
      </x:c>
      <x:c r="F137" s="21" t="str">
        <x:v>PERMIT RBD-1</x:v>
      </x:c>
      <x:c r="G137" s="21" t="str">
        <x:f>IF(E137=F137,"PASS","FAIL")</x:f>
        <x:v>PASS</x:v>
      </x:c>
      <x:c r="H137" s="21" t="str">
        <x:v>exactly one cell credit and one accepted packet</x:v>
      </x:c>
    </x:row>
    <x:row r="138">
      <x:c r="A138" s="21" t="str">
        <x:v>XT-134</x:v>
      </x:c>
      <x:c r="B138" s="21" t="str">
        <x:v>next authority</x:v>
      </x:c>
      <x:c r="C138" s="21" t="n">
        <x:v>0</x:v>
      </x:c>
      <x:c r="D138" s="21" t="n">
        <x:v>1</x:v>
      </x:c>
      <x:c r="E138" s="21" t="str">
        <x:f>IF(AND(C138=1,D138=1),"PERMIT RBD-1","BLOCKED")</x:f>
        <x:v>BLOCKED</x:v>
      </x:c>
      <x:c r="F138" s="21" t="str">
        <x:v>BLOCKED</x:v>
      </x:c>
      <x:c r="G138" s="21" t="str">
        <x:f>IF(E138=F138,"PASS","FAIL")</x:f>
        <x:v>PASS</x:v>
      </x:c>
      <x:c r="H138" s="21" t="str">
        <x:v>exactly one cell credit and one accepted packet</x:v>
      </x:c>
    </x:row>
    <x:row r="139">
      <x:c r="A139" s="21" t="str">
        <x:v>XT-135</x:v>
      </x:c>
      <x:c r="B139" s="21" t="str">
        <x:v>next authority</x:v>
      </x:c>
      <x:c r="C139" s="21" t="n">
        <x:v>1</x:v>
      </x:c>
      <x:c r="D139" s="21" t="n">
        <x:v>0</x:v>
      </x:c>
      <x:c r="E139" s="21" t="str">
        <x:f>IF(AND(C139=1,D139=1),"PERMIT RBD-1","BLOCKED")</x:f>
        <x:v>BLOCKED</x:v>
      </x:c>
      <x:c r="F139" s="21" t="str">
        <x:v>BLOCKED</x:v>
      </x:c>
      <x:c r="G139" s="21" t="str">
        <x:f>IF(E139=F139,"PASS","FAIL")</x:f>
        <x:v>PASS</x:v>
      </x:c>
      <x:c r="H139" s="21" t="str">
        <x:v>exactly one cell credit and one accepted packet</x:v>
      </x:c>
    </x:row>
    <x:row r="140">
      <x:c r="A140" s="21" t="str">
        <x:v>XT-136</x:v>
      </x:c>
      <x:c r="B140" s="21" t="str">
        <x:v>next authority</x:v>
      </x:c>
      <x:c r="C140" s="21" t="n">
        <x:v>2</x:v>
      </x:c>
      <x:c r="D140" s="21" t="n">
        <x:v>1</x:v>
      </x:c>
      <x:c r="E140" s="21" t="str">
        <x:f>IF(AND(C140=1,D140=1),"PERMIT RBD-1","BLOCKED")</x:f>
        <x:v>BLOCKED</x:v>
      </x:c>
      <x:c r="F140" s="21" t="str">
        <x:v>BLOCKED</x:v>
      </x:c>
      <x:c r="G140" s="21" t="str">
        <x:f>IF(E140=F140,"PASS","FAIL")</x:f>
        <x:v>PASS</x:v>
      </x:c>
      <x:c r="H140" s="21" t="str">
        <x:v>exactly one cell credit and one accepted packet</x:v>
      </x:c>
    </x:row>
    <x:row r="141">
      <x:c r="A141" s="21" t="str">
        <x:v>XT-137</x:v>
      </x:c>
      <x:c r="B141" s="21" t="str">
        <x:v>next authority</x:v>
      </x:c>
      <x:c r="C141" s="21" t="n">
        <x:v>1</x:v>
      </x:c>
      <x:c r="D141" s="21" t="n">
        <x:v>2</x:v>
      </x:c>
      <x:c r="E141" s="21" t="str">
        <x:f>IF(AND(C141=1,D141=1),"PERMIT RBD-1","BLOCKED")</x:f>
        <x:v>BLOCKED</x:v>
      </x:c>
      <x:c r="F141" s="21" t="str">
        <x:v>BLOCKED</x:v>
      </x:c>
      <x:c r="G141" s="21" t="str">
        <x:f>IF(E141=F141,"PASS","FAIL")</x:f>
        <x:v>PASS</x:v>
      </x:c>
      <x:c r="H141" s="21" t="str">
        <x:v>exactly one cell credit and one accepted packet</x:v>
      </x:c>
    </x:row>
    <x:row r="142">
      <x:c r="A142" s="21" t="str">
        <x:v>XT-138</x:v>
      </x:c>
      <x:c r="B142" s="21" t="str">
        <x:v>next authority</x:v>
      </x:c>
      <x:c r="C142" s="21" t="n">
        <x:v>-1</x:v>
      </x:c>
      <x:c r="D142" s="21" t="n">
        <x:v>1</x:v>
      </x:c>
      <x:c r="E142" s="21" t="str">
        <x:f>IF(AND(C142=1,D142=1),"PERMIT RBD-1","BLOCKED")</x:f>
        <x:v>BLOCKED</x:v>
      </x:c>
      <x:c r="F142" s="21" t="str">
        <x:v>BLOCKED</x:v>
      </x:c>
      <x:c r="G142" s="21" t="str">
        <x:f>IF(E142=F142,"PASS","FAIL")</x:f>
        <x:v>PASS</x:v>
      </x:c>
      <x:c r="H142" s="21" t="str">
        <x:v>exactly one cell credit and one accepted packet</x:v>
      </x:c>
    </x:row>
    <x:row r="143">
      <x:c r="A143" s="21" t="str">
        <x:v>XT-139</x:v>
      </x:c>
      <x:c r="B143" s="21" t="str">
        <x:v>next authority</x:v>
      </x:c>
      <x:c r="C143" s="21" t="n">
        <x:v>1</x:v>
      </x:c>
      <x:c r="D143" s="21" t="n">
        <x:v>1</x:v>
      </x:c>
      <x:c r="E143" s="21" t="str">
        <x:f>IF(AND(C143=1,D143=1),"PERMIT RBD-1","BLOCKED")</x:f>
        <x:v>PERMIT RBD-1</x:v>
      </x:c>
      <x:c r="F143" s="21" t="str">
        <x:v>PERMIT RBD-1</x:v>
      </x:c>
      <x:c r="G143" s="21" t="str">
        <x:f>IF(E143=F143,"PASS","FAIL")</x:f>
        <x:v>PASS</x:v>
      </x:c>
      <x:c r="H143" s="21" t="str">
        <x:v>exactly one cell credit and one accepted packet</x:v>
      </x:c>
    </x:row>
    <x:row r="144">
      <x:c r="A144" s="21" t="str">
        <x:v>XT-140</x:v>
      </x:c>
      <x:c r="B144" s="21" t="str">
        <x:v>next authority</x:v>
      </x:c>
      <x:c r="C144" s="21" t="n">
        <x:v>0</x:v>
      </x:c>
      <x:c r="D144" s="21" t="n">
        <x:v>0</x:v>
      </x:c>
      <x:c r="E144" s="21" t="str">
        <x:f>IF(AND(C144=1,D144=1),"PERMIT RBD-1","BLOCKED")</x:f>
        <x:v>BLOCKED</x:v>
      </x:c>
      <x:c r="F144" s="21" t="str">
        <x:v>BLOCKED</x:v>
      </x:c>
      <x:c r="G144" s="21" t="str">
        <x:f>IF(E144=F144,"PASS","FAIL")</x:f>
        <x:v>PASS</x:v>
      </x:c>
      <x:c r="H144" s="21" t="str">
        <x:v>exactly one cell credit and one accepted packet</x:v>
      </x:c>
    </x:row>
    <x:row r="145">
      <x:c r="A145" s="21" t="str">
        <x:v>XT-141</x:v>
      </x:c>
      <x:c r="B145" s="21" t="str">
        <x:v>next authority</x:v>
      </x:c>
      <x:c r="C145" s="21" t="n">
        <x:v>1</x:v>
      </x:c>
      <x:c r="D145" s="21" t="n">
        <x:v>1</x:v>
      </x:c>
      <x:c r="E145" s="21" t="str">
        <x:f>IF(AND(C145=1,D145=1),"PERMIT RBD-1","BLOCKED")</x:f>
        <x:v>PERMIT RBD-1</x:v>
      </x:c>
      <x:c r="F145" s="21" t="str">
        <x:v>PERMIT RBD-1</x:v>
      </x:c>
      <x:c r="G145" s="21" t="str">
        <x:f>IF(E145=F145,"PASS","FAIL")</x:f>
        <x:v>PASS</x:v>
      </x:c>
      <x:c r="H145" s="21" t="str">
        <x:v>exactly one cell credit and one accepted packet</x:v>
      </x:c>
    </x:row>
    <x:row r="146">
      <x:c r="A146" s="21" t="str">
        <x:v>XT-142</x:v>
      </x:c>
      <x:c r="B146" s="21" t="str">
        <x:v>next authority</x:v>
      </x:c>
      <x:c r="C146" s="21" t="n">
        <x:v>1</x:v>
      </x:c>
      <x:c r="D146" s="21" t="n">
        <x:v>0</x:v>
      </x:c>
      <x:c r="E146" s="21" t="str">
        <x:f>IF(AND(C146=1,D146=1),"PERMIT RBD-1","BLOCKED")</x:f>
        <x:v>BLOCKED</x:v>
      </x:c>
      <x:c r="F146" s="21" t="str">
        <x:v>BLOCKED</x:v>
      </x:c>
      <x:c r="G146" s="21" t="str">
        <x:f>IF(E146=F146,"PASS","FAIL")</x:f>
        <x:v>PASS</x:v>
      </x:c>
      <x:c r="H146" s="21" t="str">
        <x:v>exactly one cell credit and one accepted packet</x:v>
      </x:c>
    </x:row>
    <x:row r="147">
      <x:c r="A147" s="21" t="str">
        <x:v>XT-143</x:v>
      </x:c>
      <x:c r="B147" s="21" t="str">
        <x:v>next authority</x:v>
      </x:c>
      <x:c r="C147" s="21" t="n">
        <x:v>0</x:v>
      </x:c>
      <x:c r="D147" s="21" t="n">
        <x:v>1</x:v>
      </x:c>
      <x:c r="E147" s="21" t="str">
        <x:f>IF(AND(C147=1,D147=1),"PERMIT RBD-1","BLOCKED")</x:f>
        <x:v>BLOCKED</x:v>
      </x:c>
      <x:c r="F147" s="21" t="str">
        <x:v>BLOCKED</x:v>
      </x:c>
      <x:c r="G147" s="21" t="str">
        <x:f>IF(E147=F147,"PASS","FAIL")</x:f>
        <x:v>PASS</x:v>
      </x:c>
      <x:c r="H147" s="21" t="str">
        <x:v>exactly one cell credit and one accepted packet</x:v>
      </x:c>
    </x:row>
    <x:row r="148">
      <x:c r="A148" s="21" t="str">
        <x:v>XT-144</x:v>
      </x:c>
      <x:c r="B148" s="21" t="str">
        <x:v>next authority</x:v>
      </x:c>
      <x:c r="C148" s="21" t="n">
        <x:v>2</x:v>
      </x:c>
      <x:c r="D148" s="21" t="n">
        <x:v>2</x:v>
      </x:c>
      <x:c r="E148" s="21" t="str">
        <x:f>IF(AND(C148=1,D148=1),"PERMIT RBD-1","BLOCKED")</x:f>
        <x:v>BLOCKED</x:v>
      </x:c>
      <x:c r="F148" s="21" t="str">
        <x:v>BLOCKED</x:v>
      </x:c>
      <x:c r="G148" s="21" t="str">
        <x:f>IF(E148=F148,"PASS","FAIL")</x:f>
        <x:v>PASS</x:v>
      </x:c>
      <x:c r="H148" s="21" t="str">
        <x:v>exactly one cell credit and one accepted packet</x:v>
      </x:c>
    </x:row>
  </x:sheetData>
  <x:conditionalFormatting sqref="G5:G148">
    <x:cfRule type="containsText" dxfId="138" priority="1" operator="containsText" text="PASS"/>
    <x:cfRule type="containsText" dxfId="139" priority="2" operator="containsText" text="ACCEPTED"/>
    <x:cfRule type="containsText" dxfId="140" priority="3" operator="containsText" text="OPEN"/>
    <x:cfRule type="containsText" dxfId="141" priority="4" operator="containsText" text="BLOCKED"/>
    <x:cfRule type="containsText" dxfId="142" priority="5" operator="containsText" text="FAIL"/>
    <x:cfRule type="containsText" dxfId="143" priority="6" operator="containsText" text="STOP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23" hidden="0" customWidth="1"/>
    <x:col min="5" max="5" width="23" hidden="0" customWidth="1"/>
    <x:col min="6" max="6" width="15" hidden="0" customWidth="1"/>
  </x:cols>
  <x:sheetData>
    <x:row r="1" ht="28" customHeight="1">
      <x:c r="A1" s="17" t="str">
        <x:v>One hundred eighty planning audits</x:v>
      </x:c>
      <x:c r="B1" s="17"/>
      <x:c r="C1" s="17"/>
      <x:c r="D1" s="17"/>
      <x:c r="E1" s="17"/>
      <x:c r="F1" s="17"/>
    </x:row>
    <x:row r="2" ht="34" customHeight="1">
      <x:c r="A2" s="18" t="str">
        <x:v>Checks verify workbook structure and baseline state. They do not create physical acceptance.</x:v>
      </x:c>
      <x:c r="B2" s="18"/>
      <x:c r="C2" s="18"/>
      <x:c r="D2" s="18"/>
      <x:c r="E2" s="18"/>
      <x:c r="F2" s="18"/>
    </x:row>
    <x:row r="3">
      <x:c r="A3" s="19"/>
      <x:c r="B3" s="19"/>
      <x:c r="C3" s="19"/>
      <x:c r="D3" s="19"/>
      <x:c r="E3" s="19"/>
      <x:c r="F3" s="19"/>
    </x:row>
    <x:row r="4">
      <x:c r="A4" s="20" t="str">
        <x:v>Audit</x:v>
      </x:c>
      <x:c r="B4" s="20" t="str">
        <x:v>Area</x:v>
      </x:c>
      <x:c r="C4" s="20" t="str">
        <x:v>Test</x:v>
      </x:c>
      <x:c r="D4" s="20" t="str">
        <x:v>Actual</x:v>
      </x:c>
      <x:c r="E4" s="20" t="str">
        <x:v>Expected</x:v>
      </x:c>
      <x:c r="F4" s="20" t="str">
        <x:v>Status</x:v>
      </x:c>
    </x:row>
    <x:row r="5">
      <x:c r="A5" s="21" t="str">
        <x:v>A001</x:v>
      </x:c>
      <x:c r="B5" s="21" t="str">
        <x:v>structure</x:v>
      </x:c>
      <x:c r="C5" s="21" t="str">
        <x:v>worksheet count</x:v>
      </x:c>
      <x:c r="D5" s="21" t="n">
        <x:f>COUNTA(ReadMe!$A$5:$A$42)-0</x:f>
        <x:v>38</x:v>
      </x:c>
      <x:c r="E5" s="21" t="n">
        <x:v>38</x:v>
      </x:c>
      <x:c r="F5" s="21" t="str">
        <x:f>IF(ABS(IF(ISNUMBER(D5),D5,0)-IF(ISNUMBER(E5),E5,0))&lt;0.00001,IF(AND(ISTEXT(D5),ISTEXT(E5)),IF(D5=E5,"PASS","FAIL"),"PASS"),IF(D5=E5,"PASS","FAIL"))</x:f>
        <x:v>PASS</x:v>
      </x:c>
    </x:row>
    <x:row r="6">
      <x:c r="A6" s="21" t="str">
        <x:v>A002</x:v>
      </x:c>
      <x:c r="B6" s="21" t="str">
        <x:v>population</x:v>
      </x:c>
      <x:c r="C6" s="21" t="str">
        <x:v>eligible cells</x:v>
      </x:c>
      <x:c r="D6" s="21" t="n">
        <x:f>COUNTA(Eligibility!$B$5:$B$292)/24</x:f>
        <x:v>12</x:v>
      </x:c>
      <x:c r="E6" s="21" t="n">
        <x:v>12</x:v>
      </x:c>
      <x:c r="F6" s="21" t="str">
        <x:f>IF(ABS(IF(ISNUMBER(D6),D6,0)-IF(ISNUMBER(E6),E6,0))&lt;0.00001,IF(AND(ISTEXT(D6),ISTEXT(E6)),IF(D6=E6,"PASS","FAIL"),"PASS"),IF(D6=E6,"PASS","FAIL"))</x:f>
        <x:v>PASS</x:v>
      </x:c>
    </x:row>
    <x:row r="7">
      <x:c r="A7" s="21" t="str">
        <x:v>A003</x:v>
      </x:c>
      <x:c r="B7" s="21" t="str">
        <x:v>population</x:v>
      </x:c>
      <x:c r="C7" s="21" t="str">
        <x:v>eligibility decisions</x:v>
      </x:c>
      <x:c r="D7" s="21" t="n">
        <x:f>COUNTA(Eligibility!$A$5:$A$292)</x:f>
        <x:v>288</x:v>
      </x:c>
      <x:c r="E7" s="21" t="n">
        <x:v>288</x:v>
      </x:c>
      <x:c r="F7" s="21" t="str">
        <x:f>IF(ABS(IF(ISNUMBER(D7),D7,0)-IF(ISNUMBER(E7),E7,0))&lt;0.00001,IF(AND(ISTEXT(D7),ISTEXT(E7)),IF(D7=E7,"PASS","FAIL"),"PASS"),IF(D7=E7,"PASS","FAIL"))</x:f>
        <x:v>PASS</x:v>
      </x:c>
    </x:row>
    <x:row r="8">
      <x:c r="A8" s="21" t="str">
        <x:v>A004</x:v>
      </x:c>
      <x:c r="B8" s="21" t="str">
        <x:v>qualification</x:v>
      </x:c>
      <x:c r="C8" s="21" t="str">
        <x:v>rate-extension trials</x:v>
      </x:c>
      <x:c r="D8" s="21" t="n">
        <x:f>COUNTA('Rate Qualification'!$A$5:$A$28)</x:f>
        <x:v>24</x:v>
      </x:c>
      <x:c r="E8" s="21" t="n">
        <x:v>24</x:v>
      </x:c>
      <x:c r="F8" s="21" t="str">
        <x:f>IF(ABS(IF(ISNUMBER(D8),D8,0)-IF(ISNUMBER(E8),E8,0))&lt;0.00001,IF(AND(ISTEXT(D8),ISTEXT(E8)),IF(D8=E8,"PASS","FAIL"),"PASS"),IF(D8=E8,"PASS","FAIL"))</x:f>
        <x:v>PASS</x:v>
      </x:c>
    </x:row>
    <x:row r="9">
      <x:c r="A9" s="21" t="str">
        <x:v>A005</x:v>
      </x:c>
      <x:c r="B9" s="21" t="str">
        <x:v>conversion</x:v>
      </x:c>
      <x:c r="C9" s="21" t="str">
        <x:v>conversion objects</x:v>
      </x:c>
      <x:c r="D9" s="21" t="n">
        <x:f>COUNTA('Conversion Kit'!$A$5:$A$16)</x:f>
        <x:v>12</x:v>
      </x:c>
      <x:c r="E9" s="21" t="n">
        <x:v>12</x:v>
      </x:c>
      <x:c r="F9" s="21" t="str">
        <x:f>IF(ABS(IF(ISNUMBER(D9),D9,0)-IF(ISNUMBER(E9),E9,0))&lt;0.00001,IF(AND(ISTEXT(D9),ISTEXT(E9)),IF(D9=E9,"PASS","FAIL"),"PASS"),IF(D9=E9,"PASS","FAIL"))</x:f>
        <x:v>PASS</x:v>
      </x:c>
    </x:row>
    <x:row r="10">
      <x:c r="A10" s="21" t="str">
        <x:v>A006</x:v>
      </x:c>
      <x:c r="B10" s="21" t="str">
        <x:v>source</x:v>
      </x:c>
      <x:c r="C10" s="21" t="str">
        <x:v>source packages</x:v>
      </x:c>
      <x:c r="D10" s="21" t="n">
        <x:f>COUNTA('Source Bank'!$A$5:$A$32)</x:f>
        <x:v>28</x:v>
      </x:c>
      <x:c r="E10" s="21" t="n">
        <x:v>28</x:v>
      </x:c>
      <x:c r="F10" s="21" t="str">
        <x:f>IF(ABS(IF(ISNUMBER(D10),D10,0)-IF(ISNUMBER(E10),E10,0))&lt;0.00001,IF(AND(ISTEXT(D10),ISTEXT(E10)),IF(D10=E10,"PASS","FAIL"),"PASS"),IF(D10=E10,"PASS","FAIL"))</x:f>
        <x:v>PASS</x:v>
      </x:c>
    </x:row>
    <x:row r="11">
      <x:c r="A11" s="21" t="str">
        <x:v>A007</x:v>
      </x:c>
      <x:c r="B11" s="21" t="str">
        <x:v>source</x:v>
      </x:c>
      <x:c r="C11" s="21" t="str">
        <x:v>active packages</x:v>
      </x:c>
      <x:c r="D11" s="21" t="n">
        <x:f>COUNTIF('Source Bank'!$E$5:$E$32,"ACTIVE")</x:f>
        <x:v>12</x:v>
      </x:c>
      <x:c r="E11" s="21" t="n">
        <x:v>12</x:v>
      </x:c>
      <x:c r="F11" s="21" t="str">
        <x:f>IF(ABS(IF(ISNUMBER(D11),D11,0)-IF(ISNUMBER(E11),E11,0))&lt;0.00001,IF(AND(ISTEXT(D11),ISTEXT(E11)),IF(D11=E11,"PASS","FAIL"),"PASS"),IF(D11=E11,"PASS","FAIL"))</x:f>
        <x:v>PASS</x:v>
      </x:c>
    </x:row>
    <x:row r="12">
      <x:c r="A12" s="21" t="str">
        <x:v>A008</x:v>
      </x:c>
      <x:c r="B12" s="21" t="str">
        <x:v>source</x:v>
      </x:c>
      <x:c r="C12" s="21" t="str">
        <x:v>reserve packages</x:v>
      </x:c>
      <x:c r="D12" s="21" t="n">
        <x:f>COUNTIF('Source Bank'!$E$5:$E$32,"OPERATIONAL RESERVE")</x:f>
        <x:v>14</x:v>
      </x:c>
      <x:c r="E12" s="21" t="n">
        <x:v>14</x:v>
      </x:c>
      <x:c r="F12" s="21" t="str">
        <x:f>IF(ABS(IF(ISNUMBER(D12),D12,0)-IF(ISNUMBER(E12),E12,0))&lt;0.00001,IF(AND(ISTEXT(D12),ISTEXT(E12)),IF(D12=E12,"PASS","FAIL"),"PASS"),IF(D12=E12,"PASS","FAIL"))</x:f>
        <x:v>PASS</x:v>
      </x:c>
    </x:row>
    <x:row r="13">
      <x:c r="A13" s="21" t="str">
        <x:v>A009</x:v>
      </x:c>
      <x:c r="B13" s="21" t="str">
        <x:v>source</x:v>
      </x:c>
      <x:c r="C13" s="21" t="str">
        <x:v>forensic packages</x:v>
      </x:c>
      <x:c r="D13" s="21" t="n">
        <x:f>COUNTIF('Source Bank'!$E$5:$E$32,"FORENSIC REFERENCE")</x:f>
        <x:v>2</x:v>
      </x:c>
      <x:c r="E13" s="21" t="n">
        <x:v>2</x:v>
      </x:c>
      <x:c r="F13" s="21" t="str">
        <x:f>IF(ABS(IF(ISNUMBER(D13),D13,0)-IF(ISNUMBER(E13),E13,0))&lt;0.00001,IF(AND(ISTEXT(D13),ISTEXT(E13)),IF(D13=E13,"PASS","FAIL"),"PASS"),IF(D13=E13,"PASS","FAIL"))</x:f>
        <x:v>PASS</x:v>
      </x:c>
    </x:row>
    <x:row r="14">
      <x:c r="A14" s="21" t="str">
        <x:v>A010</x:v>
      </x:c>
      <x:c r="B14" s="21" t="str">
        <x:v>source</x:v>
      </x:c>
      <x:c r="C14" s="21" t="str">
        <x:v>package characteristics</x:v>
      </x:c>
      <x:c r="D14" s="21" t="n">
        <x:f>COUNTA('Package Characteristics'!$A$5:$A$340)</x:f>
        <x:v>336</x:v>
      </x:c>
      <x:c r="E14" s="21" t="n">
        <x:v>336</x:v>
      </x:c>
      <x:c r="F14" s="21" t="str">
        <x:f>IF(ABS(IF(ISNUMBER(D14),D14,0)-IF(ISNUMBER(E14),E14,0))&lt;0.00001,IF(AND(ISTEXT(D14),ISTEXT(E14)),IF(D14=E14,"PASS","FAIL"),"PASS"),IF(D14=E14,"PASS","FAIL"))</x:f>
        <x:v>PASS</x:v>
      </x:c>
    </x:row>
    <x:row r="15">
      <x:c r="A15" s="21" t="str">
        <x:v>A011</x:v>
      </x:c>
      <x:c r="B15" s="21" t="str">
        <x:v>event</x:v>
      </x:c>
      <x:c r="C15" s="21" t="str">
        <x:v>attempt tokens</x:v>
      </x:c>
      <x:c r="D15" s="21" t="n">
        <x:f>COUNTA('Attempt Tokens'!$A$5:$A$6)</x:f>
        <x:v>2</x:v>
      </x:c>
      <x:c r="E15" s="21" t="n">
        <x:v>2</x:v>
      </x:c>
      <x:c r="F15" s="21" t="str">
        <x:f>IF(ABS(IF(ISNUMBER(D15),D15,0)-IF(ISNUMBER(E15),E15,0))&lt;0.00001,IF(AND(ISTEXT(D15),ISTEXT(E15)),IF(D15=E15,"PASS","FAIL"),"PASS"),IF(D15=E15,"PASS","FAIL"))</x:f>
        <x:v>PASS</x:v>
      </x:c>
    </x:row>
    <x:row r="16">
      <x:c r="A16" s="21" t="str">
        <x:v>A012</x:v>
      </x:c>
      <x:c r="B16" s="21" t="str">
        <x:v>event</x:v>
      </x:c>
      <x:c r="C16" s="21" t="str">
        <x:v>event gates</x:v>
      </x:c>
      <x:c r="D16" s="21" t="n">
        <x:f>COUNTA('Event Gates'!$A$5:$A$88)</x:f>
        <x:v>84</x:v>
      </x:c>
      <x:c r="E16" s="21" t="n">
        <x:v>84</x:v>
      </x:c>
      <x:c r="F16" s="21" t="str">
        <x:f>IF(ABS(IF(ISNUMBER(D16),D16,0)-IF(ISNUMBER(E16),E16,0))&lt;0.00001,IF(AND(ISTEXT(D16),ISTEXT(E16)),IF(D16=E16,"PASS","FAIL"),"PASS"),IF(D16=E16,"PASS","FAIL"))</x:f>
        <x:v>PASS</x:v>
      </x:c>
    </x:row>
    <x:row r="17">
      <x:c r="A17" s="21" t="str">
        <x:v>A013</x:v>
      </x:c>
      <x:c r="B17" s="21" t="str">
        <x:v>event</x:v>
      </x:c>
      <x:c r="C17" s="21" t="str">
        <x:v>dossier bindings</x:v>
      </x:c>
      <x:c r="D17" s="21" t="n">
        <x:f>COUNTA('Dossier Bindings'!$A$5:$A$438)</x:f>
        <x:v>434</x:v>
      </x:c>
      <x:c r="E17" s="21" t="n">
        <x:v>434</x:v>
      </x:c>
      <x:c r="F17" s="21" t="str">
        <x:f>IF(ABS(IF(ISNUMBER(D17),D17,0)-IF(ISNUMBER(E17),E17,0))&lt;0.00001,IF(AND(ISTEXT(D17),ISTEXT(E17)),IF(D17=E17,"PASS","FAIL"),"PASS"),IF(D17=E17,"PASS","FAIL"))</x:f>
        <x:v>PASS</x:v>
      </x:c>
    </x:row>
    <x:row r="18">
      <x:c r="A18" s="21" t="str">
        <x:v>A014</x:v>
      </x:c>
      <x:c r="B18" s="21" t="str">
        <x:v>event</x:v>
      </x:c>
      <x:c r="C18" s="21" t="str">
        <x:v>source-bin records</x:v>
      </x:c>
      <x:c r="D18" s="21" t="n">
        <x:f>COUNTA('Source Accounts'!$A$5:$A$24)</x:f>
        <x:v>20</x:v>
      </x:c>
      <x:c r="E18" s="21" t="n">
        <x:v>20</x:v>
      </x:c>
      <x:c r="F18" s="21" t="str">
        <x:f>IF(ABS(IF(ISNUMBER(D18),D18,0)-IF(ISNUMBER(E18),E18,0))&lt;0.00001,IF(AND(ISTEXT(D18),ISTEXT(E18)),IF(D18=E18,"PASS","FAIL"),"PASS"),IF(D18=E18,"PASS","FAIL"))</x:f>
        <x:v>PASS</x:v>
      </x:c>
    </x:row>
    <x:row r="19">
      <x:c r="A19" s="21" t="str">
        <x:v>A015</x:v>
      </x:c>
      <x:c r="B19" s="21" t="str">
        <x:v>event</x:v>
      </x:c>
      <x:c r="C19" s="21" t="str">
        <x:v>water records</x:v>
      </x:c>
      <x:c r="D19" s="21" t="n">
        <x:f>COUNTA('Water Account'!$A$5:$A$6)</x:f>
        <x:v>2</x:v>
      </x:c>
      <x:c r="E19" s="21" t="n">
        <x:v>2</x:v>
      </x:c>
      <x:c r="F19" s="21" t="str">
        <x:f>IF(ABS(IF(ISNUMBER(D19),D19,0)-IF(ISNUMBER(E19),E19,0))&lt;0.00001,IF(AND(ISTEXT(D19),ISTEXT(E19)),IF(D19=E19,"PASS","FAIL"),"PASS"),IF(D19=E19,"PASS","FAIL"))</x:f>
        <x:v>PASS</x:v>
      </x:c>
    </x:row>
    <x:row r="20">
      <x:c r="A20" s="21" t="str">
        <x:v>A016</x:v>
      </x:c>
      <x:c r="B20" s="21" t="str">
        <x:v>event</x:v>
      </x:c>
      <x:c r="C20" s="21" t="str">
        <x:v>uncertainty component records</x:v>
      </x:c>
      <x:c r="D20" s="21" t="n">
        <x:f>COUNTA(Uncertainty!$B$5:$B$32)</x:f>
        <x:v>28</x:v>
      </x:c>
      <x:c r="E20" s="21" t="n">
        <x:v>28</x:v>
      </x:c>
      <x:c r="F20" s="21" t="str">
        <x:f>IF(ABS(IF(ISNUMBER(D20),D20,0)-IF(ISNUMBER(E20),E20,0))&lt;0.00001,IF(AND(ISTEXT(D20),ISTEXT(E20)),IF(D20=E20,"PASS","FAIL"),"PASS"),IF(D20=E20,"PASS","FAIL"))</x:f>
        <x:v>PASS</x:v>
      </x:c>
    </x:row>
    <x:row r="21">
      <x:c r="A21" s="21" t="str">
        <x:v>A017</x:v>
      </x:c>
      <x:c r="B21" s="21" t="str">
        <x:v>event</x:v>
      </x:c>
      <x:c r="C21" s="21" t="str">
        <x:v>safeing paths</x:v>
      </x:c>
      <x:c r="D21" s="21" t="n">
        <x:f>COUNTA('Safeing Paths'!$A$5:$A$76)</x:f>
        <x:v>72</x:v>
      </x:c>
      <x:c r="E21" s="21" t="n">
        <x:v>72</x:v>
      </x:c>
      <x:c r="F21" s="21" t="str">
        <x:f>IF(ABS(IF(ISNUMBER(D21),D21,0)-IF(ISNUMBER(E21),E21,0))&lt;0.00001,IF(AND(ISTEXT(D21),ISTEXT(E21)),IF(D21=E21,"PASS","FAIL"),"PASS"),IF(D21=E21,"PASS","FAIL"))</x:f>
        <x:v>PASS</x:v>
      </x:c>
    </x:row>
    <x:row r="22">
      <x:c r="A22" s="21" t="str">
        <x:v>A018</x:v>
      </x:c>
      <x:c r="B22" s="21" t="str">
        <x:v>event</x:v>
      </x:c>
      <x:c r="C22" s="21" t="str">
        <x:v>clock records</x:v>
      </x:c>
      <x:c r="D22" s="21" t="n">
        <x:f>COUNTA('Event Clock'!$A$5:$A$52)</x:f>
        <x:v>48</x:v>
      </x:c>
      <x:c r="E22" s="21" t="n">
        <x:v>48</x:v>
      </x:c>
      <x:c r="F22" s="21" t="str">
        <x:f>IF(ABS(IF(ISNUMBER(D22),D22,0)-IF(ISNUMBER(E22),E22,0))&lt;0.00001,IF(AND(ISTEXT(D22),ISTEXT(E22)),IF(D22=E22,"PASS","FAIL"),"PASS"),IF(D22=E22,"PASS","FAIL"))</x:f>
        <x:v>PASS</x:v>
      </x:c>
    </x:row>
    <x:row r="23">
      <x:c r="A23" s="21" t="str">
        <x:v>A019</x:v>
      </x:c>
      <x:c r="B23" s="21" t="str">
        <x:v>return</x:v>
      </x:c>
      <x:c r="C23" s="21" t="str">
        <x:v>pair-return records</x:v>
      </x:c>
      <x:c r="D23" s="21" t="n">
        <x:f>COUNTA('Pair Return'!$A$5:$A$72)</x:f>
        <x:v>68</x:v>
      </x:c>
      <x:c r="E23" s="21" t="n">
        <x:v>68</x:v>
      </x:c>
      <x:c r="F23" s="21" t="str">
        <x:f>IF(ABS(IF(ISNUMBER(D23),D23,0)-IF(ISNUMBER(E23),E23,0))&lt;0.00001,IF(AND(ISTEXT(D23),ISTEXT(E23)),IF(D23=E23,"PASS","FAIL"),"PASS"),IF(D23=E23,"PASS","FAIL"))</x:f>
        <x:v>PASS</x:v>
      </x:c>
    </x:row>
    <x:row r="24">
      <x:c r="A24" s="21" t="str">
        <x:v>A020</x:v>
      </x:c>
      <x:c r="B24" s="21" t="str">
        <x:v>evidence</x:v>
      </x:c>
      <x:c r="C24" s="21" t="str">
        <x:v>replay decisions</x:v>
      </x:c>
      <x:c r="D24" s="21" t="n">
        <x:f>COUNTA('Evidence Replay'!$A$5:$A$52)</x:f>
        <x:v>48</x:v>
      </x:c>
      <x:c r="E24" s="21" t="n">
        <x:v>48</x:v>
      </x:c>
      <x:c r="F24" s="21" t="str">
        <x:f>IF(ABS(IF(ISNUMBER(D24),D24,0)-IF(ISNUMBER(E24),E24,0))&lt;0.00001,IF(AND(ISTEXT(D24),ISTEXT(E24)),IF(D24=E24,"PASS","FAIL"),"PASS"),IF(D24=E24,"PASS","FAIL"))</x:f>
        <x:v>PASS</x:v>
      </x:c>
    </x:row>
    <x:row r="25">
      <x:c r="A25" s="21" t="str">
        <x:v>A021</x:v>
      </x:c>
      <x:c r="B25" s="21" t="str">
        <x:v>evidence</x:v>
      </x:c>
      <x:c r="C25" s="21" t="str">
        <x:v>native per attempt GB</x:v>
      </x:c>
      <x:c r="D25" s="21" t="n">
        <x:f>ROUND('Evidence Capacity'!$C$5,6)</x:f>
        <x:v>192.06157</x:v>
      </x:c>
      <x:c r="E25" s="21" t="n">
        <x:v>192.06157</x:v>
      </x:c>
      <x:c r="F25" s="21" t="str">
        <x:f>IF(ABS(IF(ISNUMBER(D25),D25,0)-IF(ISNUMBER(E25),E25,0))&lt;0.00001,IF(AND(ISTEXT(D25),ISTEXT(E25)),IF(D25=E25,"PASS","FAIL"),"PASS"),IF(D25=E25,"PASS","FAIL"))</x:f>
        <x:v>PASS</x:v>
      </x:c>
    </x:row>
    <x:row r="26">
      <x:c r="A26" s="21" t="str">
        <x:v>A022</x:v>
      </x:c>
      <x:c r="B26" s="21" t="str">
        <x:v>evidence</x:v>
      </x:c>
      <x:c r="C26" s="21" t="str">
        <x:v>maximum allocated GB</x:v>
      </x:c>
      <x:c r="D26" s="21" t="n">
        <x:f>ROUND('Evidence Capacity'!$E$7,6)</x:f>
        <x:v>499.360082</x:v>
      </x:c>
      <x:c r="E26" s="21" t="n">
        <x:v>499.360082</x:v>
      </x:c>
      <x:c r="F26" s="21" t="str">
        <x:f>IF(ABS(IF(ISNUMBER(D26),D26,0)-IF(ISNUMBER(E26),E26,0))&lt;0.00001,IF(AND(ISTEXT(D26),ISTEXT(E26)),IF(D26=E26,"PASS","FAIL"),"PASS"),IF(D26=E26,"PASS","FAIL"))</x:f>
        <x:v>PASS</x:v>
      </x:c>
    </x:row>
    <x:row r="27">
      <x:c r="A27" s="21" t="str">
        <x:v>A023</x:v>
      </x:c>
      <x:c r="B27" s="21" t="str">
        <x:v>physics</x:v>
      </x:c>
      <x:c r="C27" s="21" t="str">
        <x:v>target velocity</x:v>
      </x:c>
      <x:c r="D27" s="21" t="n">
        <x:f>ROUND('Hydraulic Envelope'!$E$7,6)</x:f>
        <x:v>2.07233</x:v>
      </x:c>
      <x:c r="E27" s="21" t="n">
        <x:v>2.07233</x:v>
      </x:c>
      <x:c r="F27" s="21" t="str">
        <x:f>IF(ABS(IF(ISNUMBER(D27),D27,0)-IF(ISNUMBER(E27),E27,0))&lt;0.00001,IF(AND(ISTEXT(D27),ISTEXT(E27)),IF(D27=E27,"PASS","FAIL"),"PASS"),IF(D27=E27,"PASS","FAIL"))</x:f>
        <x:v>PASS</x:v>
      </x:c>
    </x:row>
    <x:row r="28">
      <x:c r="A28" s="21" t="str">
        <x:v>A024</x:v>
      </x:c>
      <x:c r="B28" s="21" t="str">
        <x:v>physics</x:v>
      </x:c>
      <x:c r="C28" s="21" t="str">
        <x:v>target Reynolds</x:v>
      </x:c>
      <x:c r="D28" s="21" t="n">
        <x:f>ROUND('Hydraulic Envelope'!$F$7,3)</x:f>
        <x:v>16578.64</x:v>
      </x:c>
      <x:c r="E28" s="21" t="n">
        <x:v>16578.64</x:v>
      </x:c>
      <x:c r="F28" s="21" t="str">
        <x:f>IF(ABS(IF(ISNUMBER(D28),D28,0)-IF(ISNUMBER(E28),E28,0))&lt;0.00001,IF(AND(ISTEXT(D28),ISTEXT(E28)),IF(D28=E28,"PASS","FAIL"),"PASS"),IF(D28=E28,"PASS","FAIL"))</x:f>
        <x:v>PASS</x:v>
      </x:c>
    </x:row>
    <x:row r="29">
      <x:c r="A29" s="21" t="str">
        <x:v>A025</x:v>
      </x:c>
      <x:c r="B29" s="21" t="str">
        <x:v>physics</x:v>
      </x:c>
      <x:c r="C29" s="21" t="str">
        <x:v>target friction kPa</x:v>
      </x:c>
      <x:c r="D29" s="21" t="n">
        <x:f>ROUND('Hydraulic Envelope'!$H$7,3)</x:f>
        <x:v>14.37</x:v>
      </x:c>
      <x:c r="E29" s="21" t="n">
        <x:v>14.37</x:v>
      </x:c>
      <x:c r="F29" s="21" t="str">
        <x:f>IF(ABS(IF(ISNUMBER(D29),D29,0)-IF(ISNUMBER(E29),E29,0))&lt;0.00001,IF(AND(ISTEXT(D29),ISTEXT(E29)),IF(D29=E29,"PASS","FAIL"),"PASS"),IF(D29=E29,"PASS","FAIL"))</x:f>
        <x:v>PASS</x:v>
      </x:c>
    </x:row>
    <x:row r="30">
      <x:c r="A30" s="21" t="str">
        <x:v>A026</x:v>
      </x:c>
      <x:c r="B30" s="21" t="str">
        <x:v>physics</x:v>
      </x:c>
      <x:c r="C30" s="21" t="str">
        <x:v>target surge MPa</x:v>
      </x:c>
      <x:c r="D30" s="21" t="n">
        <x:f>ROUND('Hydraulic Envelope'!$J$7,6)</x:f>
        <x:v>1.657864</x:v>
      </x:c>
      <x:c r="E30" s="21" t="n">
        <x:v>1.657864</x:v>
      </x:c>
      <x:c r="F30" s="21" t="str">
        <x:f>IF(ABS(IF(ISNUMBER(D30),D30,0)-IF(ISNUMBER(E30),E30,0))&lt;0.00001,IF(AND(ISTEXT(D30),ISTEXT(E30)),IF(D30=E30,"PASS","FAIL"),"PASS"),IF(D30=E30,"PASS","FAIL"))</x:f>
        <x:v>PASS</x:v>
      </x:c>
    </x:row>
    <x:row r="31">
      <x:c r="A31" s="21" t="str">
        <x:v>A027</x:v>
      </x:c>
      <x:c r="B31" s="21" t="str">
        <x:v>physics</x:v>
      </x:c>
      <x:c r="C31" s="21" t="str">
        <x:v>design margin MPa</x:v>
      </x:c>
      <x:c r="D31" s="21" t="n">
        <x:f>ROUND('Hydraulic Envelope'!$K$7,6)</x:f>
        <x:v>0.342136</x:v>
      </x:c>
      <x:c r="E31" s="21" t="n">
        <x:v>0.342136</x:v>
      </x:c>
      <x:c r="F31" s="21" t="str">
        <x:f>IF(ABS(IF(ISNUMBER(D31),D31,0)-IF(ISNUMBER(E31),E31,0))&lt;0.00001,IF(AND(ISTEXT(D31),ISTEXT(E31)),IF(D31=E31,"PASS","FAIL"),"PASS"),IF(D31=E31,"PASS","FAIL"))</x:f>
        <x:v>PASS</x:v>
      </x:c>
    </x:row>
    <x:row r="32">
      <x:c r="A32" s="21" t="str">
        <x:v>A028</x:v>
      </x:c>
      <x:c r="B32" s="21" t="str">
        <x:v>physics</x:v>
      </x:c>
      <x:c r="C32" s="21" t="str">
        <x:v>nominal receiver margin</x:v>
      </x:c>
      <x:c r="D32" s="21" t="n">
        <x:f>ROUND(Controls!B24-Controls!B9/Controls!B10,4)</x:f>
        <x:v>0.0875</x:v>
      </x:c>
      <x:c r="E32" s="21" t="n">
        <x:v>0.0875</x:v>
      </x:c>
      <x:c r="F32" s="21" t="str">
        <x:f>IF(ABS(IF(ISNUMBER(D32),D32,0)-IF(ISNUMBER(E32),E32,0))&lt;0.00001,IF(AND(ISTEXT(D32),ISTEXT(E32)),IF(D32=E32,"PASS","FAIL"),"PASS"),IF(D32=E32,"PASS","FAIL"))</x:f>
        <x:v>PASS</x:v>
      </x:c>
    </x:row>
    <x:row r="33">
      <x:c r="A33" s="21" t="str">
        <x:v>A029</x:v>
      </x:c>
      <x:c r="B33" s="21" t="str">
        <x:v>physics</x:v>
      </x:c>
      <x:c r="C33" s="21" t="str">
        <x:v>line inventory kg</x:v>
      </x:c>
      <x:c r="D33" s="21" t="n">
        <x:f>ROUND('Scale Vector'!$D$14,4)</x:f>
        <x:v>12.0637</x:v>
      </x:c>
      <x:c r="E33" s="21" t="n">
        <x:v>12.0637</x:v>
      </x:c>
      <x:c r="F33" s="21" t="str">
        <x:f>IF(ABS(IF(ISNUMBER(D33),D33,0)-IF(ISNUMBER(E33),E33,0))&lt;0.00001,IF(AND(ISTEXT(D33),ISTEXT(E33)),IF(D33=E33,"PASS","FAIL"),"PASS"),IF(D33=E33,"PASS","FAIL"))</x:f>
        <x:v>PASS</x:v>
      </x:c>
    </x:row>
    <x:row r="34">
      <x:c r="A34" s="21" t="str">
        <x:v>A030</x:v>
      </x:c>
      <x:c r="B34" s="21" t="str">
        <x:v>physics</x:v>
      </x:c>
      <x:c r="C34" s="21" t="str">
        <x:v>line inventory share</x:v>
      </x:c>
      <x:c r="D34" s="21" t="n">
        <x:f>ROUND('Scale Vector'!$D$15,6)</x:f>
        <x:v>0.048255</x:v>
      </x:c>
      <x:c r="E34" s="21" t="n">
        <x:v>0.048255</x:v>
      </x:c>
      <x:c r="F34" s="21" t="str">
        <x:f>IF(ABS(IF(ISNUMBER(D34),D34,0)-IF(ISNUMBER(E34),E34,0))&lt;0.00001,IF(AND(ISTEXT(D34),ISTEXT(E34)),IF(D34=E34,"PASS","FAIL"),"PASS"),IF(D34=E34,"PASS","FAIL"))</x:f>
        <x:v>PASS</x:v>
      </x:c>
    </x:row>
    <x:row r="35">
      <x:c r="A35" s="21" t="str">
        <x:v>A031</x:v>
      </x:c>
      <x:c r="B35" s="21" t="str">
        <x:v>reserve</x:v>
      </x:c>
      <x:c r="C35" s="21" t="str">
        <x:v>selected p=.70</x:v>
      </x:c>
      <x:c r="D35" s="21" t="n">
        <x:f>ROUND('Reserve Alternatives'!$E$11,6)</x:f>
        <x:v>0.972461</x:v>
      </x:c>
      <x:c r="E35" s="21" t="n">
        <x:v>0.972461</x:v>
      </x:c>
      <x:c r="F35" s="21" t="str">
        <x:f>IF(ABS(IF(ISNUMBER(D35),D35,0)-IF(ISNUMBER(E35),E35,0))&lt;0.00001,IF(AND(ISTEXT(D35),ISTEXT(E35)),IF(D35=E35,"PASS","FAIL"),"PASS"),IF(D35=E35,"PASS","FAIL"))</x:f>
        <x:v>PASS</x:v>
      </x:c>
    </x:row>
    <x:row r="36">
      <x:c r="A36" s="21" t="str">
        <x:v>A032</x:v>
      </x:c>
      <x:c r="B36" s="21" t="str">
        <x:v>reserve</x:v>
      </x:c>
      <x:c r="C36" s="21" t="str">
        <x:v>selected p=.80</x:v>
      </x:c>
      <x:c r="D36" s="21" t="n">
        <x:f>ROUND('Reserve Alternatives'!$F$11,6)</x:f>
        <x:v>0.998174</x:v>
      </x:c>
      <x:c r="E36" s="21" t="n">
        <x:v>0.998174</x:v>
      </x:c>
      <x:c r="F36" s="21" t="str">
        <x:f>IF(ABS(IF(ISNUMBER(D36),D36,0)-IF(ISNUMBER(E36),E36,0))&lt;0.00001,IF(AND(ISTEXT(D36),ISTEXT(E36)),IF(D36=E36,"PASS","FAIL"),"PASS"),IF(D36=E36,"PASS","FAIL"))</x:f>
        <x:v>PASS</x:v>
      </x:c>
    </x:row>
    <x:row r="37">
      <x:c r="A37" s="21" t="str">
        <x:v>A033</x:v>
      </x:c>
      <x:c r="B37" s="21" t="str">
        <x:v>reserve</x:v>
      </x:c>
      <x:c r="C37" s="21" t="str">
        <x:v>six reserves p=.70</x:v>
      </x:c>
      <x:c r="D37" s="21" t="n">
        <x:f>ROUND('Reserve Alternatives'!$E$10,6)</x:f>
        <x:v>0.940615</x:v>
      </x:c>
      <x:c r="E37" s="21" t="n">
        <x:v>0.940615</x:v>
      </x:c>
      <x:c r="F37" s="21" t="str">
        <x:f>IF(ABS(IF(ISNUMBER(D37),D37,0)-IF(ISNUMBER(E37),E37,0))&lt;0.00001,IF(AND(ISTEXT(D37),ISTEXT(E37)),IF(D37=E37,"PASS","FAIL"),"PASS"),IF(D37=E37,"PASS","FAIL"))</x:f>
        <x:v>PASS</x:v>
      </x:c>
    </x:row>
    <x:row r="38">
      <x:c r="A38" s="21" t="str">
        <x:v>A034</x:v>
      </x:c>
      <x:c r="B38" s="21" t="str">
        <x:v>uncertainty</x:v>
      </x:c>
      <x:c r="C38" s="21" t="str">
        <x:v>design U95</x:v>
      </x:c>
      <x:c r="D38" s="21" t="n">
        <x:f>ROUND(Uncertainty!$E$34,6)</x:f>
        <x:v>2.012461</x:v>
      </x:c>
      <x:c r="E38" s="21" t="n">
        <x:v>2.012461</x:v>
      </x:c>
      <x:c r="F38" s="21" t="str">
        <x:f>IF(ABS(IF(ISNUMBER(D38),D38,0)-IF(ISNUMBER(E38),E38,0))&lt;0.00001,IF(AND(ISTEXT(D38),ISTEXT(E38)),IF(D38=E38,"PASS","FAIL"),"PASS"),IF(D38=E38,"PASS","FAIL"))</x:f>
        <x:v>PASS</x:v>
      </x:c>
    </x:row>
    <x:row r="39">
      <x:c r="A39" s="21" t="str">
        <x:v>A035</x:v>
      </x:c>
      <x:c r="B39" s="21" t="str">
        <x:v>workforce</x:v>
      </x:c>
      <x:c r="C39" s="21" t="str">
        <x:v>positions</x:v>
      </x:c>
      <x:c r="D39" s="21" t="n">
        <x:f>Workforce!$B$11</x:f>
        <x:v>384</x:v>
      </x:c>
      <x:c r="E39" s="21" t="n">
        <x:v>384</x:v>
      </x:c>
      <x:c r="F39" s="21" t="str">
        <x:f>IF(ABS(IF(ISNUMBER(D39),D39,0)-IF(ISNUMBER(E39),E39,0))&lt;0.00001,IF(AND(ISTEXT(D39),ISTEXT(E39)),IF(D39=E39,"PASS","FAIL"),"PASS"),IF(D39=E39,"PASS","FAIL"))</x:f>
        <x:v>PASS</x:v>
      </x:c>
    </x:row>
    <x:row r="40">
      <x:c r="A40" s="21" t="str">
        <x:v>A036</x:v>
      </x:c>
      <x:c r="B40" s="21" t="str">
        <x:v>finance</x:v>
      </x:c>
      <x:c r="C40" s="21" t="str">
        <x:v>capital</x:v>
      </x:c>
      <x:c r="D40" s="21" t="n">
        <x:f>'Finance Allocation'!$C$14</x:f>
        <x:v>54</x:v>
      </x:c>
      <x:c r="E40" s="21" t="n">
        <x:v>54</x:v>
      </x:c>
      <x:c r="F40" s="21" t="str">
        <x:f>IF(ABS(IF(ISNUMBER(D40),D40,0)-IF(ISNUMBER(E40),E40,0))&lt;0.00001,IF(AND(ISTEXT(D40),ISTEXT(E40)),IF(D40=E40,"PASS","FAIL"),"PASS"),IF(D40=E40,"PASS","FAIL"))</x:f>
        <x:v>PASS</x:v>
      </x:c>
    </x:row>
    <x:row r="41">
      <x:c r="A41" s="21" t="str">
        <x:v>A037</x:v>
      </x:c>
      <x:c r="B41" s="21" t="str">
        <x:v>finance</x:v>
      </x:c>
      <x:c r="C41" s="21" t="str">
        <x:v>annual</x:v>
      </x:c>
      <x:c r="D41" s="21" t="n">
        <x:f>'Finance Allocation'!$C$21</x:f>
        <x:v>12</x:v>
      </x:c>
      <x:c r="E41" s="21" t="n">
        <x:v>12</x:v>
      </x:c>
      <x:c r="F41" s="21" t="str">
        <x:f>IF(ABS(IF(ISNUMBER(D41),D41,0)-IF(ISNUMBER(E41),E41,0))&lt;0.00001,IF(AND(ISTEXT(D41),ISTEXT(E41)),IF(D41=E41,"PASS","FAIL"),"PASS"),IF(D41=E41,"PASS","FAIL"))</x:f>
        <x:v>PASS</x:v>
      </x:c>
    </x:row>
    <x:row r="42">
      <x:c r="A42" s="21" t="str">
        <x:v>A038</x:v>
      </x:c>
      <x:c r="B42" s="21" t="str">
        <x:v>finance</x:v>
      </x:c>
      <x:c r="C42" s="21" t="str">
        <x:v>capital remainder</x:v>
      </x:c>
      <x:c r="D42" s="21" t="n">
        <x:f>'Portfolio Boundary'!$B$8</x:f>
        <x:v>122</x:v>
      </x:c>
      <x:c r="E42" s="21" t="n">
        <x:v>122</x:v>
      </x:c>
      <x:c r="F42" s="21" t="str">
        <x:f>IF(ABS(IF(ISNUMBER(D42),D42,0)-IF(ISNUMBER(E42),E42,0))&lt;0.00001,IF(AND(ISTEXT(D42),ISTEXT(E42)),IF(D42=E42,"PASS","FAIL"),"PASS"),IF(D42=E42,"PASS","FAIL"))</x:f>
        <x:v>PASS</x:v>
      </x:c>
    </x:row>
    <x:row r="43">
      <x:c r="A43" s="21" t="str">
        <x:v>A039</x:v>
      </x:c>
      <x:c r="B43" s="21" t="str">
        <x:v>finance</x:v>
      </x:c>
      <x:c r="C43" s="21" t="str">
        <x:v>annual remainder</x:v>
      </x:c>
      <x:c r="D43" s="21" t="n">
        <x:f>'Portfolio Boundary'!$C$8</x:f>
        <x:v>23</x:v>
      </x:c>
      <x:c r="E43" s="21" t="n">
        <x:v>23</x:v>
      </x:c>
      <x:c r="F43" s="21" t="str">
        <x:f>IF(ABS(IF(ISNUMBER(D43),D43,0)-IF(ISNUMBER(E43),E43,0))&lt;0.00001,IF(AND(ISTEXT(D43),ISTEXT(E43)),IF(D43=E43,"PASS","FAIL"),"PASS"),IF(D43=E43,"PASS","FAIL"))</x:f>
        <x:v>PASS</x:v>
      </x:c>
    </x:row>
    <x:row r="44">
      <x:c r="A44" s="21" t="str">
        <x:v>A040</x:v>
      </x:c>
      <x:c r="B44" s="21" t="str">
        <x:v>finance</x:v>
      </x:c>
      <x:c r="C44" s="21" t="str">
        <x:v>technology remainder</x:v>
      </x:c>
      <x:c r="D44" s="21" t="n">
        <x:f>'Portfolio Boundary'!$D$8</x:f>
        <x:v>210</x:v>
      </x:c>
      <x:c r="E44" s="21" t="n">
        <x:v>210</x:v>
      </x:c>
      <x:c r="F44" s="21" t="str">
        <x:f>IF(ABS(IF(ISNUMBER(D44),D44,0)-IF(ISNUMBER(E44),E44,0))&lt;0.00001,IF(AND(ISTEXT(D44),ISTEXT(E44)),IF(D44=E44,"PASS","FAIL"),"PASS"),IF(D44=E44,"PASS","FAIL"))</x:f>
        <x:v>PASS</x:v>
      </x:c>
    </x:row>
    <x:row r="45">
      <x:c r="A45" s="21" t="str">
        <x:v>A041</x:v>
      </x:c>
      <x:c r="B45" s="21" t="str">
        <x:v>finance</x:v>
      </x:c>
      <x:c r="C45" s="21" t="str">
        <x:v>cumulative stage exposure</x:v>
      </x:c>
      <x:c r="D45" s="21" t="n">
        <x:f>'Portfolio Boundary'!$E$9</x:f>
        <x:v>791</x:v>
      </x:c>
      <x:c r="E45" s="21" t="n">
        <x:v>791</x:v>
      </x:c>
      <x:c r="F45" s="21" t="str">
        <x:f>IF(ABS(IF(ISNUMBER(D45),D45,0)-IF(ISNUMBER(E45),E45,0))&lt;0.00001,IF(AND(ISTEXT(D45),ISTEXT(E45)),IF(D45=E45,"PASS","FAIL"),"PASS"),IF(D45=E45,"PASS","FAIL"))</x:f>
        <x:v>PASS</x:v>
      </x:c>
    </x:row>
    <x:row r="46">
      <x:c r="A46" s="21" t="str">
        <x:v>A042</x:v>
      </x:c>
      <x:c r="B46" s="21" t="str">
        <x:v>finance</x:v>
      </x:c>
      <x:c r="C46" s="21" t="str">
        <x:v>gross exposure difference</x:v>
      </x:c>
      <x:c r="D46" s="21" t="n">
        <x:f>'Portfolio Boundary'!$E$10</x:f>
        <x:v>416.5</x:v>
      </x:c>
      <x:c r="E46" s="21" t="n">
        <x:v>416.5</x:v>
      </x:c>
      <x:c r="F46" s="21" t="str">
        <x:f>IF(ABS(IF(ISNUMBER(D46),D46,0)-IF(ISNUMBER(E46),E46,0))&lt;0.00001,IF(AND(ISTEXT(D46),ISTEXT(E46)),IF(D46=E46,"PASS","FAIL"),"PASS"),IF(D46=E46,"PASS","FAIL"))</x:f>
        <x:v>PASS</x:v>
      </x:c>
    </x:row>
    <x:row r="47">
      <x:c r="A47" s="21" t="str">
        <x:v>A043</x:v>
      </x:c>
      <x:c r="B47" s="21" t="str">
        <x:v>schedule</x:v>
      </x:c>
      <x:c r="C47" s="21" t="str">
        <x:v>release-aware month</x:v>
      </x:c>
      <x:c r="D47" s="21" t="n">
        <x:f>'Portfolio Boundary'!$B$11</x:f>
        <x:v>99</x:v>
      </x:c>
      <x:c r="E47" s="21" t="n">
        <x:v>99</x:v>
      </x:c>
      <x:c r="F47" s="21" t="str">
        <x:f>IF(ABS(IF(ISNUMBER(D47),D47,0)-IF(ISNUMBER(E47),E47,0))&lt;0.00001,IF(AND(ISTEXT(D47),ISTEXT(E47)),IF(D47=E47,"PASS","FAIL"),"PASS"),IF(D47=E47,"PASS","FAIL"))</x:f>
        <x:v>PASS</x:v>
      </x:c>
    </x:row>
    <x:row r="48">
      <x:c r="A48" s="21" t="str">
        <x:v>A044</x:v>
      </x:c>
      <x:c r="B48" s="21" t="str">
        <x:v>schedule</x:v>
      </x:c>
      <x:c r="C48" s="21" t="str">
        <x:v>sequential month</x:v>
      </x:c>
      <x:c r="D48" s="21" t="n">
        <x:f>'Portfolio Boundary'!$B$12</x:f>
        <x:v>123</x:v>
      </x:c>
      <x:c r="E48" s="21" t="n">
        <x:v>123</x:v>
      </x:c>
      <x:c r="F48" s="21" t="str">
        <x:f>IF(ABS(IF(ISNUMBER(D48),D48,0)-IF(ISNUMBER(E48),E48,0))&lt;0.00001,IF(AND(ISTEXT(D48),ISTEXT(E48)),IF(D48=E48,"PASS","FAIL"),"PASS"),IF(D48=E48,"PASS","FAIL"))</x:f>
        <x:v>PASS</x:v>
      </x:c>
    </x:row>
    <x:row r="49">
      <x:c r="A49" s="21" t="str">
        <x:v>A045</x:v>
      </x:c>
      <x:c r="B49" s="21" t="str">
        <x:v>schedule</x:v>
      </x:c>
      <x:c r="C49" s="21" t="str">
        <x:v>conditional preparation difference</x:v>
      </x:c>
      <x:c r="D49" s="21" t="n">
        <x:f>'Portfolio Boundary'!$B$13</x:f>
        <x:v>24</x:v>
      </x:c>
      <x:c r="E49" s="21" t="n">
        <x:v>24</x:v>
      </x:c>
      <x:c r="F49" s="21" t="str">
        <x:f>IF(ABS(IF(ISNUMBER(D49),D49,0)-IF(ISNUMBER(E49),E49,0))&lt;0.00001,IF(AND(ISTEXT(D49),ISTEXT(E49)),IF(D49=E49,"PASS","FAIL"),"PASS"),IF(D49=E49,"PASS","FAIL"))</x:f>
        <x:v>PASS</x:v>
      </x:c>
    </x:row>
    <x:row r="50">
      <x:c r="A50" s="21" t="str">
        <x:v>A046</x:v>
      </x:c>
      <x:c r="B50" s="21" t="str">
        <x:v>technology</x:v>
      </x:c>
      <x:c r="C50" s="21" t="str">
        <x:v>technology total</x:v>
      </x:c>
      <x:c r="D50" s="21" t="n">
        <x:f>'Technology Programs'!$C$17</x:f>
        <x:v>105</x:v>
      </x:c>
      <x:c r="E50" s="21" t="n">
        <x:v>105</x:v>
      </x:c>
      <x:c r="F50" s="21" t="str">
        <x:f>IF(ABS(IF(ISNUMBER(D50),D50,0)-IF(ISNUMBER(E50),E50,0))&lt;0.00001,IF(AND(ISTEXT(D50),ISTEXT(E50)),IF(D50=E50,"PASS","FAIL"),"PASS"),IF(D50=E50,"PASS","FAIL"))</x:f>
        <x:v>PASS</x:v>
      </x:c>
    </x:row>
    <x:row r="51">
      <x:c r="A51" s="21" t="str">
        <x:v>A047</x:v>
      </x:c>
      <x:c r="B51" s="21" t="str">
        <x:v>behavior</x:v>
      </x:c>
      <x:c r="C51" s="21" t="str">
        <x:v>executable tests</x:v>
      </x:c>
      <x:c r="D51" s="21" t="n">
        <x:f>COUNTA('Executable Tests'!$A$5:$A$148)</x:f>
        <x:v>144</x:v>
      </x:c>
      <x:c r="E51" s="21" t="n">
        <x:v>144</x:v>
      </x:c>
      <x:c r="F51" s="21" t="str">
        <x:f>IF(ABS(IF(ISNUMBER(D51),D51,0)-IF(ISNUMBER(E51),E51,0))&lt;0.00001,IF(AND(ISTEXT(D51),ISTEXT(E51)),IF(D51=E51,"PASS","FAIL"),"PASS"),IF(D51=E51,"PASS","FAIL"))</x:f>
        <x:v>PASS</x:v>
      </x:c>
    </x:row>
    <x:row r="52">
      <x:c r="A52" s="21" t="str">
        <x:v>A048</x:v>
      </x:c>
      <x:c r="B52" s="21" t="str">
        <x:v>authority</x:v>
      </x:c>
      <x:c r="C52" s="21" t="str">
        <x:v>downstream blocks</x:v>
      </x:c>
      <x:c r="D52" s="21" t="n">
        <x:f>COUNTIF('Downstream Boundary'!$B$5:$B$15,"BLOCKED")</x:f>
        <x:v>11</x:v>
      </x:c>
      <x:c r="E52" s="21" t="n">
        <x:v>11</x:v>
      </x:c>
      <x:c r="F52" s="21" t="str">
        <x:f>IF(ABS(IF(ISNUMBER(D52),D52,0)-IF(ISNUMBER(E52),E52,0))&lt;0.00001,IF(AND(ISTEXT(D52),ISTEXT(E52)),IF(D52=E52,"PASS","FAIL"),"PASS"),IF(D52=E52,"PASS","FAIL"))</x:f>
        <x:v>PASS</x:v>
      </x:c>
    </x:row>
    <x:row r="53">
      <x:c r="A53" s="21" t="str">
        <x:v>A049</x:v>
      </x:c>
      <x:c r="B53" s="21" t="str">
        <x:v>authority</x:v>
      </x:c>
      <x:c r="C53" s="21" t="str">
        <x:v>decision count</x:v>
      </x:c>
      <x:c r="D53" s="21" t="n">
        <x:f>COUNTA(Decisions!$A$5:$A$9)</x:f>
        <x:v>5</x:v>
      </x:c>
      <x:c r="E53" s="21" t="n">
        <x:v>5</x:v>
      </x:c>
      <x:c r="F53" s="21" t="str">
        <x:f>IF(ABS(IF(ISNUMBER(D53),D53,0)-IF(ISNUMBER(E53),E53,0))&lt;0.00001,IF(AND(ISTEXT(D53),ISTEXT(E53)),IF(D53=E53,"PASS","FAIL"),"PASS"),IF(D53=E53,"PASS","FAIL"))</x:f>
        <x:v>PASS</x:v>
      </x:c>
    </x:row>
    <x:row r="54">
      <x:c r="A54" s="21" t="str">
        <x:v>A050</x:v>
      </x:c>
      <x:c r="B54" s="21" t="str">
        <x:v>qualification</x:v>
      </x:c>
      <x:c r="C54" s="21" t="str">
        <x:v>RFP-A1 trials</x:v>
      </x:c>
      <x:c r="D54" s="21" t="n">
        <x:f>COUNTIF('Rate Qualification'!$B$5:$B$28,"RFP-A1")</x:f>
        <x:v>4</x:v>
      </x:c>
      <x:c r="E54" s="21" t="n">
        <x:v>4</x:v>
      </x:c>
      <x:c r="F54" s="21" t="str">
        <x:f>IF(ABS(IF(ISNUMBER(D54),D54,0)-IF(ISNUMBER(E54),E54,0))&lt;0.00001,IF(AND(ISTEXT(D54),ISTEXT(E54)),IF(D54=E54,"PASS","FAIL"),"PASS"),IF(D54=E54,"PASS","FAIL"))</x:f>
        <x:v>PASS</x:v>
      </x:c>
    </x:row>
    <x:row r="55">
      <x:c r="A55" s="21" t="str">
        <x:v>A051</x:v>
      </x:c>
      <x:c r="B55" s="21" t="str">
        <x:v>qualification</x:v>
      </x:c>
      <x:c r="C55" s="21" t="str">
        <x:v>RFP-A2 trials</x:v>
      </x:c>
      <x:c r="D55" s="21" t="n">
        <x:f>COUNTIF('Rate Qualification'!$B$5:$B$28,"RFP-A2")</x:f>
        <x:v>4</x:v>
      </x:c>
      <x:c r="E55" s="21" t="n">
        <x:v>4</x:v>
      </x:c>
      <x:c r="F55" s="21" t="str">
        <x:f>IF(ABS(IF(ISNUMBER(D55),D55,0)-IF(ISNUMBER(E55),E55,0))&lt;0.00001,IF(AND(ISTEXT(D55),ISTEXT(E55)),IF(D55=E55,"PASS","FAIL"),"PASS"),IF(D55=E55,"PASS","FAIL"))</x:f>
        <x:v>PASS</x:v>
      </x:c>
    </x:row>
    <x:row r="56">
      <x:c r="A56" s="21" t="str">
        <x:v>A052</x:v>
      </x:c>
      <x:c r="B56" s="21" t="str">
        <x:v>qualification</x:v>
      </x:c>
      <x:c r="C56" s="21" t="str">
        <x:v>RFP-B1 trials</x:v>
      </x:c>
      <x:c r="D56" s="21" t="n">
        <x:f>COUNTIF('Rate Qualification'!$B$5:$B$28,"RFP-B1")</x:f>
        <x:v>4</x:v>
      </x:c>
      <x:c r="E56" s="21" t="n">
        <x:v>4</x:v>
      </x:c>
      <x:c r="F56" s="21" t="str">
        <x:f>IF(ABS(IF(ISNUMBER(D56),D56,0)-IF(ISNUMBER(E56),E56,0))&lt;0.00001,IF(AND(ISTEXT(D56),ISTEXT(E56)),IF(D56=E56,"PASS","FAIL"),"PASS"),IF(D56=E56,"PASS","FAIL"))</x:f>
        <x:v>PASS</x:v>
      </x:c>
    </x:row>
    <x:row r="57">
      <x:c r="A57" s="21" t="str">
        <x:v>A053</x:v>
      </x:c>
      <x:c r="B57" s="21" t="str">
        <x:v>qualification</x:v>
      </x:c>
      <x:c r="C57" s="21" t="str">
        <x:v>RFP-B2 trials</x:v>
      </x:c>
      <x:c r="D57" s="21" t="n">
        <x:f>COUNTIF('Rate Qualification'!$B$5:$B$28,"RFP-B2")</x:f>
        <x:v>4</x:v>
      </x:c>
      <x:c r="E57" s="21" t="n">
        <x:v>4</x:v>
      </x:c>
      <x:c r="F57" s="21" t="str">
        <x:f>IF(ABS(IF(ISNUMBER(D57),D57,0)-IF(ISNUMBER(E57),E57,0))&lt;0.00001,IF(AND(ISTEXT(D57),ISTEXT(E57)),IF(D57=E57,"PASS","FAIL"),"PASS"),IF(D57=E57,"PASS","FAIL"))</x:f>
        <x:v>PASS</x:v>
      </x:c>
    </x:row>
    <x:row r="58">
      <x:c r="A58" s="21" t="str">
        <x:v>A054</x:v>
      </x:c>
      <x:c r="B58" s="21" t="str">
        <x:v>qualification</x:v>
      </x:c>
      <x:c r="C58" s="21" t="str">
        <x:v>RFP-C1 trials</x:v>
      </x:c>
      <x:c r="D58" s="21" t="n">
        <x:f>COUNTIF('Rate Qualification'!$B$5:$B$28,"RFP-C1")</x:f>
        <x:v>4</x:v>
      </x:c>
      <x:c r="E58" s="21" t="n">
        <x:v>4</x:v>
      </x:c>
      <x:c r="F58" s="21" t="str">
        <x:f>IF(ABS(IF(ISNUMBER(D58),D58,0)-IF(ISNUMBER(E58),E58,0))&lt;0.00001,IF(AND(ISTEXT(D58),ISTEXT(E58)),IF(D58=E58,"PASS","FAIL"),"PASS"),IF(D58=E58,"PASS","FAIL"))</x:f>
        <x:v>PASS</x:v>
      </x:c>
    </x:row>
    <x:row r="59">
      <x:c r="A59" s="21" t="str">
        <x:v>A055</x:v>
      </x:c>
      <x:c r="B59" s="21" t="str">
        <x:v>qualification</x:v>
      </x:c>
      <x:c r="C59" s="21" t="str">
        <x:v>RFP-C2 trials</x:v>
      </x:c>
      <x:c r="D59" s="21" t="n">
        <x:f>COUNTIF('Rate Qualification'!$B$5:$B$28,"RFP-C2")</x:f>
        <x:v>4</x:v>
      </x:c>
      <x:c r="E59" s="21" t="n">
        <x:v>4</x:v>
      </x:c>
      <x:c r="F59" s="21" t="str">
        <x:f>IF(ABS(IF(ISNUMBER(D59),D59,0)-IF(ISNUMBER(E59),E59,0))&lt;0.00001,IF(AND(ISTEXT(D59),ISTEXT(E59)),IF(D59=E59,"PASS","FAIL"),"PASS"),IF(D59=E59,"PASS","FAIL"))</x:f>
        <x:v>PASS</x:v>
      </x:c>
    </x:row>
    <x:row r="60">
      <x:c r="A60" s="21" t="str">
        <x:v>A056</x:v>
      </x:c>
      <x:c r="B60" s="21" t="str">
        <x:v>eligibility</x:v>
      </x:c>
      <x:c r="C60" s="21" t="str">
        <x:v>QE03-C01 gate count</x:v>
      </x:c>
      <x:c r="D60" s="21" t="n">
        <x:f>COUNTIF(Eligibility!$B$5:$B$292,"QE03-C01")</x:f>
        <x:v>24</x:v>
      </x:c>
      <x:c r="E60" s="21" t="n">
        <x:v>24</x:v>
      </x:c>
      <x:c r="F60" s="21" t="str">
        <x:f>IF(ABS(IF(ISNUMBER(D60),D60,0)-IF(ISNUMBER(E60),E60,0))&lt;0.00001,IF(AND(ISTEXT(D60),ISTEXT(E60)),IF(D60=E60,"PASS","FAIL"),"PASS"),IF(D60=E60,"PASS","FAIL"))</x:f>
        <x:v>PASS</x:v>
      </x:c>
    </x:row>
    <x:row r="61">
      <x:c r="A61" s="21" t="str">
        <x:v>A057</x:v>
      </x:c>
      <x:c r="B61" s="21" t="str">
        <x:v>eligibility</x:v>
      </x:c>
      <x:c r="C61" s="21" t="str">
        <x:v>QE03-C02 gate count</x:v>
      </x:c>
      <x:c r="D61" s="21" t="n">
        <x:f>COUNTIF(Eligibility!$B$5:$B$292,"QE03-C02")</x:f>
        <x:v>24</x:v>
      </x:c>
      <x:c r="E61" s="21" t="n">
        <x:v>24</x:v>
      </x:c>
      <x:c r="F61" s="21" t="str">
        <x:f>IF(ABS(IF(ISNUMBER(D61),D61,0)-IF(ISNUMBER(E61),E61,0))&lt;0.00001,IF(AND(ISTEXT(D61),ISTEXT(E61)),IF(D61=E61,"PASS","FAIL"),"PASS"),IF(D61=E61,"PASS","FAIL"))</x:f>
        <x:v>PASS</x:v>
      </x:c>
    </x:row>
    <x:row r="62">
      <x:c r="A62" s="21" t="str">
        <x:v>A058</x:v>
      </x:c>
      <x:c r="B62" s="21" t="str">
        <x:v>eligibility</x:v>
      </x:c>
      <x:c r="C62" s="21" t="str">
        <x:v>QE03-C03 gate count</x:v>
      </x:c>
      <x:c r="D62" s="21" t="n">
        <x:f>COUNTIF(Eligibility!$B$5:$B$292,"QE03-C03")</x:f>
        <x:v>24</x:v>
      </x:c>
      <x:c r="E62" s="21" t="n">
        <x:v>24</x:v>
      </x:c>
      <x:c r="F62" s="21" t="str">
        <x:f>IF(ABS(IF(ISNUMBER(D62),D62,0)-IF(ISNUMBER(E62),E62,0))&lt;0.00001,IF(AND(ISTEXT(D62),ISTEXT(E62)),IF(D62=E62,"PASS","FAIL"),"PASS"),IF(D62=E62,"PASS","FAIL"))</x:f>
        <x:v>PASS</x:v>
      </x:c>
    </x:row>
    <x:row r="63">
      <x:c r="A63" s="21" t="str">
        <x:v>A059</x:v>
      </x:c>
      <x:c r="B63" s="21" t="str">
        <x:v>eligibility</x:v>
      </x:c>
      <x:c r="C63" s="21" t="str">
        <x:v>QE03-C04 gate count</x:v>
      </x:c>
      <x:c r="D63" s="21" t="n">
        <x:f>COUNTIF(Eligibility!$B$5:$B$292,"QE03-C04")</x:f>
        <x:v>24</x:v>
      </x:c>
      <x:c r="E63" s="21" t="n">
        <x:v>24</x:v>
      </x:c>
      <x:c r="F63" s="21" t="str">
        <x:f>IF(ABS(IF(ISNUMBER(D63),D63,0)-IF(ISNUMBER(E63),E63,0))&lt;0.00001,IF(AND(ISTEXT(D63),ISTEXT(E63)),IF(D63=E63,"PASS","FAIL"),"PASS"),IF(D63=E63,"PASS","FAIL"))</x:f>
        <x:v>PASS</x:v>
      </x:c>
    </x:row>
    <x:row r="64">
      <x:c r="A64" s="21" t="str">
        <x:v>A060</x:v>
      </x:c>
      <x:c r="B64" s="21" t="str">
        <x:v>eligibility</x:v>
      </x:c>
      <x:c r="C64" s="21" t="str">
        <x:v>QE03-C05 gate count</x:v>
      </x:c>
      <x:c r="D64" s="21" t="n">
        <x:f>COUNTIF(Eligibility!$B$5:$B$292,"QE03-C05")</x:f>
        <x:v>24</x:v>
      </x:c>
      <x:c r="E64" s="21" t="n">
        <x:v>24</x:v>
      </x:c>
      <x:c r="F64" s="21" t="str">
        <x:f>IF(ABS(IF(ISNUMBER(D64),D64,0)-IF(ISNUMBER(E64),E64,0))&lt;0.00001,IF(AND(ISTEXT(D64),ISTEXT(E64)),IF(D64=E64,"PASS","FAIL"),"PASS"),IF(D64=E64,"PASS","FAIL"))</x:f>
        <x:v>PASS</x:v>
      </x:c>
    </x:row>
    <x:row r="65">
      <x:c r="A65" s="21" t="str">
        <x:v>A061</x:v>
      </x:c>
      <x:c r="B65" s="21" t="str">
        <x:v>eligibility</x:v>
      </x:c>
      <x:c r="C65" s="21" t="str">
        <x:v>QE03-C06 gate count</x:v>
      </x:c>
      <x:c r="D65" s="21" t="n">
        <x:f>COUNTIF(Eligibility!$B$5:$B$292,"QE03-C06")</x:f>
        <x:v>24</x:v>
      </x:c>
      <x:c r="E65" s="21" t="n">
        <x:v>24</x:v>
      </x:c>
      <x:c r="F65" s="21" t="str">
        <x:f>IF(ABS(IF(ISNUMBER(D65),D65,0)-IF(ISNUMBER(E65),E65,0))&lt;0.00001,IF(AND(ISTEXT(D65),ISTEXT(E65)),IF(D65=E65,"PASS","FAIL"),"PASS"),IF(D65=E65,"PASS","FAIL"))</x:f>
        <x:v>PASS</x:v>
      </x:c>
    </x:row>
    <x:row r="66">
      <x:c r="A66" s="21" t="str">
        <x:v>A062</x:v>
      </x:c>
      <x:c r="B66" s="21" t="str">
        <x:v>eligibility</x:v>
      </x:c>
      <x:c r="C66" s="21" t="str">
        <x:v>QE03-C07 gate count</x:v>
      </x:c>
      <x:c r="D66" s="21" t="n">
        <x:f>COUNTIF(Eligibility!$B$5:$B$292,"QE03-C07")</x:f>
        <x:v>24</x:v>
      </x:c>
      <x:c r="E66" s="21" t="n">
        <x:v>24</x:v>
      </x:c>
      <x:c r="F66" s="21" t="str">
        <x:f>IF(ABS(IF(ISNUMBER(D66),D66,0)-IF(ISNUMBER(E66),E66,0))&lt;0.00001,IF(AND(ISTEXT(D66),ISTEXT(E66)),IF(D66=E66,"PASS","FAIL"),"PASS"),IF(D66=E66,"PASS","FAIL"))</x:f>
        <x:v>PASS</x:v>
      </x:c>
    </x:row>
    <x:row r="67">
      <x:c r="A67" s="21" t="str">
        <x:v>A063</x:v>
      </x:c>
      <x:c r="B67" s="21" t="str">
        <x:v>eligibility</x:v>
      </x:c>
      <x:c r="C67" s="21" t="str">
        <x:v>QE03-C08 gate count</x:v>
      </x:c>
      <x:c r="D67" s="21" t="n">
        <x:f>COUNTIF(Eligibility!$B$5:$B$292,"QE03-C08")</x:f>
        <x:v>24</x:v>
      </x:c>
      <x:c r="E67" s="21" t="n">
        <x:v>24</x:v>
      </x:c>
      <x:c r="F67" s="21" t="str">
        <x:f>IF(ABS(IF(ISNUMBER(D67),D67,0)-IF(ISNUMBER(E67),E67,0))&lt;0.00001,IF(AND(ISTEXT(D67),ISTEXT(E67)),IF(D67=E67,"PASS","FAIL"),"PASS"),IF(D67=E67,"PASS","FAIL"))</x:f>
        <x:v>PASS</x:v>
      </x:c>
    </x:row>
    <x:row r="68">
      <x:c r="A68" s="21" t="str">
        <x:v>A064</x:v>
      </x:c>
      <x:c r="B68" s="21" t="str">
        <x:v>eligibility</x:v>
      </x:c>
      <x:c r="C68" s="21" t="str">
        <x:v>QE03-C09 gate count</x:v>
      </x:c>
      <x:c r="D68" s="21" t="n">
        <x:f>COUNTIF(Eligibility!$B$5:$B$292,"QE03-C09")</x:f>
        <x:v>24</x:v>
      </x:c>
      <x:c r="E68" s="21" t="n">
        <x:v>24</x:v>
      </x:c>
      <x:c r="F68" s="21" t="str">
        <x:f>IF(ABS(IF(ISNUMBER(D68),D68,0)-IF(ISNUMBER(E68),E68,0))&lt;0.00001,IF(AND(ISTEXT(D68),ISTEXT(E68)),IF(D68=E68,"PASS","FAIL"),"PASS"),IF(D68=E68,"PASS","FAIL"))</x:f>
        <x:v>PASS</x:v>
      </x:c>
    </x:row>
    <x:row r="69">
      <x:c r="A69" s="21" t="str">
        <x:v>A065</x:v>
      </x:c>
      <x:c r="B69" s="21" t="str">
        <x:v>eligibility</x:v>
      </x:c>
      <x:c r="C69" s="21" t="str">
        <x:v>QE03-C10 gate count</x:v>
      </x:c>
      <x:c r="D69" s="21" t="n">
        <x:f>COUNTIF(Eligibility!$B$5:$B$292,"QE03-C10")</x:f>
        <x:v>24</x:v>
      </x:c>
      <x:c r="E69" s="21" t="n">
        <x:v>24</x:v>
      </x:c>
      <x:c r="F69" s="21" t="str">
        <x:f>IF(ABS(IF(ISNUMBER(D69),D69,0)-IF(ISNUMBER(E69),E69,0))&lt;0.00001,IF(AND(ISTEXT(D69),ISTEXT(E69)),IF(D69=E69,"PASS","FAIL"),"PASS"),IF(D69=E69,"PASS","FAIL"))</x:f>
        <x:v>PASS</x:v>
      </x:c>
    </x:row>
    <x:row r="70">
      <x:c r="A70" s="21" t="str">
        <x:v>A066</x:v>
      </x:c>
      <x:c r="B70" s="21" t="str">
        <x:v>eligibility</x:v>
      </x:c>
      <x:c r="C70" s="21" t="str">
        <x:v>QE03-C11 gate count</x:v>
      </x:c>
      <x:c r="D70" s="21" t="n">
        <x:f>COUNTIF(Eligibility!$B$5:$B$292,"QE03-C11")</x:f>
        <x:v>24</x:v>
      </x:c>
      <x:c r="E70" s="21" t="n">
        <x:v>24</x:v>
      </x:c>
      <x:c r="F70" s="21" t="str">
        <x:f>IF(ABS(IF(ISNUMBER(D70),D70,0)-IF(ISNUMBER(E70),E70,0))&lt;0.00001,IF(AND(ISTEXT(D70),ISTEXT(E70)),IF(D70=E70,"PASS","FAIL"),"PASS"),IF(D70=E70,"PASS","FAIL"))</x:f>
        <x:v>PASS</x:v>
      </x:c>
    </x:row>
    <x:row r="71">
      <x:c r="A71" s="21" t="str">
        <x:v>A067</x:v>
      </x:c>
      <x:c r="B71" s="21" t="str">
        <x:v>eligibility</x:v>
      </x:c>
      <x:c r="C71" s="21" t="str">
        <x:v>QE03-C12 gate count</x:v>
      </x:c>
      <x:c r="D71" s="21" t="n">
        <x:f>COUNTIF(Eligibility!$B$5:$B$292,"QE03-C12")</x:f>
        <x:v>24</x:v>
      </x:c>
      <x:c r="E71" s="21" t="n">
        <x:v>24</x:v>
      </x:c>
      <x:c r="F71" s="21" t="str">
        <x:f>IF(ABS(IF(ISNUMBER(D71),D71,0)-IF(ISNUMBER(E71),E71,0))&lt;0.00001,IF(AND(ISTEXT(D71),ISTEXT(E71)),IF(D71=E71,"PASS","FAIL"),"PASS"),IF(D71=E71,"PASS","FAIL"))</x:f>
        <x:v>PASS</x:v>
      </x:c>
    </x:row>
    <x:row r="72">
      <x:c r="A72" s="21" t="str">
        <x:v>A068</x:v>
      </x:c>
      <x:c r="B72" s="21" t="str">
        <x:v>source</x:v>
      </x:c>
      <x:c r="C72" s="21" t="str">
        <x:v>F1-A01 characteristics</x:v>
      </x:c>
      <x:c r="D72" s="21" t="n">
        <x:f>COUNTIF('Package Characteristics'!$B$5:$B$340,"F1-A01")</x:f>
        <x:v>12</x:v>
      </x:c>
      <x:c r="E72" s="21" t="n">
        <x:v>12</x:v>
      </x:c>
      <x:c r="F72" s="21" t="str">
        <x:f>IF(ABS(IF(ISNUMBER(D72),D72,0)-IF(ISNUMBER(E72),E72,0))&lt;0.00001,IF(AND(ISTEXT(D72),ISTEXT(E72)),IF(D72=E72,"PASS","FAIL"),"PASS"),IF(D72=E72,"PASS","FAIL"))</x:f>
        <x:v>PASS</x:v>
      </x:c>
    </x:row>
    <x:row r="73">
      <x:c r="A73" s="21" t="str">
        <x:v>A069</x:v>
      </x:c>
      <x:c r="B73" s="21" t="str">
        <x:v>source</x:v>
      </x:c>
      <x:c r="C73" s="21" t="str">
        <x:v>F1-A02 characteristics</x:v>
      </x:c>
      <x:c r="D73" s="21" t="n">
        <x:f>COUNTIF('Package Characteristics'!$B$5:$B$340,"F1-A02")</x:f>
        <x:v>12</x:v>
      </x:c>
      <x:c r="E73" s="21" t="n">
        <x:v>12</x:v>
      </x:c>
      <x:c r="F73" s="21" t="str">
        <x:f>IF(ABS(IF(ISNUMBER(D73),D73,0)-IF(ISNUMBER(E73),E73,0))&lt;0.00001,IF(AND(ISTEXT(D73),ISTEXT(E73)),IF(D73=E73,"PASS","FAIL"),"PASS"),IF(D73=E73,"PASS","FAIL"))</x:f>
        <x:v>PASS</x:v>
      </x:c>
    </x:row>
    <x:row r="74">
      <x:c r="A74" s="21" t="str">
        <x:v>A070</x:v>
      </x:c>
      <x:c r="B74" s="21" t="str">
        <x:v>source</x:v>
      </x:c>
      <x:c r="C74" s="21" t="str">
        <x:v>F1-A03 characteristics</x:v>
      </x:c>
      <x:c r="D74" s="21" t="n">
        <x:f>COUNTIF('Package Characteristics'!$B$5:$B$340,"F1-A03")</x:f>
        <x:v>12</x:v>
      </x:c>
      <x:c r="E74" s="21" t="n">
        <x:v>12</x:v>
      </x:c>
      <x:c r="F74" s="21" t="str">
        <x:f>IF(ABS(IF(ISNUMBER(D74),D74,0)-IF(ISNUMBER(E74),E74,0))&lt;0.00001,IF(AND(ISTEXT(D74),ISTEXT(E74)),IF(D74=E74,"PASS","FAIL"),"PASS"),IF(D74=E74,"PASS","FAIL"))</x:f>
        <x:v>PASS</x:v>
      </x:c>
    </x:row>
    <x:row r="75">
      <x:c r="A75" s="21" t="str">
        <x:v>A071</x:v>
      </x:c>
      <x:c r="B75" s="21" t="str">
        <x:v>source</x:v>
      </x:c>
      <x:c r="C75" s="21" t="str">
        <x:v>F1-A04 characteristics</x:v>
      </x:c>
      <x:c r="D75" s="21" t="n">
        <x:f>COUNTIF('Package Characteristics'!$B$5:$B$340,"F1-A04")</x:f>
        <x:v>12</x:v>
      </x:c>
      <x:c r="E75" s="21" t="n">
        <x:v>12</x:v>
      </x:c>
      <x:c r="F75" s="21" t="str">
        <x:f>IF(ABS(IF(ISNUMBER(D75),D75,0)-IF(ISNUMBER(E75),E75,0))&lt;0.00001,IF(AND(ISTEXT(D75),ISTEXT(E75)),IF(D75=E75,"PASS","FAIL"),"PASS"),IF(D75=E75,"PASS","FAIL"))</x:f>
        <x:v>PASS</x:v>
      </x:c>
    </x:row>
    <x:row r="76">
      <x:c r="A76" s="21" t="str">
        <x:v>A072</x:v>
      </x:c>
      <x:c r="B76" s="21" t="str">
        <x:v>source</x:v>
      </x:c>
      <x:c r="C76" s="21" t="str">
        <x:v>F1-A05 characteristics</x:v>
      </x:c>
      <x:c r="D76" s="21" t="n">
        <x:f>COUNTIF('Package Characteristics'!$B$5:$B$340,"F1-A05")</x:f>
        <x:v>12</x:v>
      </x:c>
      <x:c r="E76" s="21" t="n">
        <x:v>12</x:v>
      </x:c>
      <x:c r="F76" s="21" t="str">
        <x:f>IF(ABS(IF(ISNUMBER(D76),D76,0)-IF(ISNUMBER(E76),E76,0))&lt;0.00001,IF(AND(ISTEXT(D76),ISTEXT(E76)),IF(D76=E76,"PASS","FAIL"),"PASS"),IF(D76=E76,"PASS","FAIL"))</x:f>
        <x:v>PASS</x:v>
      </x:c>
    </x:row>
    <x:row r="77">
      <x:c r="A77" s="21" t="str">
        <x:v>A073</x:v>
      </x:c>
      <x:c r="B77" s="21" t="str">
        <x:v>source</x:v>
      </x:c>
      <x:c r="C77" s="21" t="str">
        <x:v>F1-A06 characteristics</x:v>
      </x:c>
      <x:c r="D77" s="21" t="n">
        <x:f>COUNTIF('Package Characteristics'!$B$5:$B$340,"F1-A06")</x:f>
        <x:v>12</x:v>
      </x:c>
      <x:c r="E77" s="21" t="n">
        <x:v>12</x:v>
      </x:c>
      <x:c r="F77" s="21" t="str">
        <x:f>IF(ABS(IF(ISNUMBER(D77),D77,0)-IF(ISNUMBER(E77),E77,0))&lt;0.00001,IF(AND(ISTEXT(D77),ISTEXT(E77)),IF(D77=E77,"PASS","FAIL"),"PASS"),IF(D77=E77,"PASS","FAIL"))</x:f>
        <x:v>PASS</x:v>
      </x:c>
    </x:row>
    <x:row r="78">
      <x:c r="A78" s="21" t="str">
        <x:v>A074</x:v>
      </x:c>
      <x:c r="B78" s="21" t="str">
        <x:v>source</x:v>
      </x:c>
      <x:c r="C78" s="21" t="str">
        <x:v>F1-R01 characteristics</x:v>
      </x:c>
      <x:c r="D78" s="21" t="n">
        <x:f>COUNTIF('Package Characteristics'!$B$5:$B$340,"F1-R01")</x:f>
        <x:v>12</x:v>
      </x:c>
      <x:c r="E78" s="21" t="n">
        <x:v>12</x:v>
      </x:c>
      <x:c r="F78" s="21" t="str">
        <x:f>IF(ABS(IF(ISNUMBER(D78),D78,0)-IF(ISNUMBER(E78),E78,0))&lt;0.00001,IF(AND(ISTEXT(D78),ISTEXT(E78)),IF(D78=E78,"PASS","FAIL"),"PASS"),IF(D78=E78,"PASS","FAIL"))</x:f>
        <x:v>PASS</x:v>
      </x:c>
    </x:row>
    <x:row r="79">
      <x:c r="A79" s="21" t="str">
        <x:v>A075</x:v>
      </x:c>
      <x:c r="B79" s="21" t="str">
        <x:v>source</x:v>
      </x:c>
      <x:c r="C79" s="21" t="str">
        <x:v>F1-R02 characteristics</x:v>
      </x:c>
      <x:c r="D79" s="21" t="n">
        <x:f>COUNTIF('Package Characteristics'!$B$5:$B$340,"F1-R02")</x:f>
        <x:v>12</x:v>
      </x:c>
      <x:c r="E79" s="21" t="n">
        <x:v>12</x:v>
      </x:c>
      <x:c r="F79" s="21" t="str">
        <x:f>IF(ABS(IF(ISNUMBER(D79),D79,0)-IF(ISNUMBER(E79),E79,0))&lt;0.00001,IF(AND(ISTEXT(D79),ISTEXT(E79)),IF(D79=E79,"PASS","FAIL"),"PASS"),IF(D79=E79,"PASS","FAIL"))</x:f>
        <x:v>PASS</x:v>
      </x:c>
    </x:row>
    <x:row r="80">
      <x:c r="A80" s="21" t="str">
        <x:v>A076</x:v>
      </x:c>
      <x:c r="B80" s="21" t="str">
        <x:v>source</x:v>
      </x:c>
      <x:c r="C80" s="21" t="str">
        <x:v>F1-R03 characteristics</x:v>
      </x:c>
      <x:c r="D80" s="21" t="n">
        <x:f>COUNTIF('Package Characteristics'!$B$5:$B$340,"F1-R03")</x:f>
        <x:v>12</x:v>
      </x:c>
      <x:c r="E80" s="21" t="n">
        <x:v>12</x:v>
      </x:c>
      <x:c r="F80" s="21" t="str">
        <x:f>IF(ABS(IF(ISNUMBER(D80),D80,0)-IF(ISNUMBER(E80),E80,0))&lt;0.00001,IF(AND(ISTEXT(D80),ISTEXT(E80)),IF(D80=E80,"PASS","FAIL"),"PASS"),IF(D80=E80,"PASS","FAIL"))</x:f>
        <x:v>PASS</x:v>
      </x:c>
    </x:row>
    <x:row r="81">
      <x:c r="A81" s="21" t="str">
        <x:v>A077</x:v>
      </x:c>
      <x:c r="B81" s="21" t="str">
        <x:v>source</x:v>
      </x:c>
      <x:c r="C81" s="21" t="str">
        <x:v>F1-R04 characteristics</x:v>
      </x:c>
      <x:c r="D81" s="21" t="n">
        <x:f>COUNTIF('Package Characteristics'!$B$5:$B$340,"F1-R04")</x:f>
        <x:v>12</x:v>
      </x:c>
      <x:c r="E81" s="21" t="n">
        <x:v>12</x:v>
      </x:c>
      <x:c r="F81" s="21" t="str">
        <x:f>IF(ABS(IF(ISNUMBER(D81),D81,0)-IF(ISNUMBER(E81),E81,0))&lt;0.00001,IF(AND(ISTEXT(D81),ISTEXT(E81)),IF(D81=E81,"PASS","FAIL"),"PASS"),IF(D81=E81,"PASS","FAIL"))</x:f>
        <x:v>PASS</x:v>
      </x:c>
    </x:row>
    <x:row r="82">
      <x:c r="A82" s="21" t="str">
        <x:v>A078</x:v>
      </x:c>
      <x:c r="B82" s="21" t="str">
        <x:v>source</x:v>
      </x:c>
      <x:c r="C82" s="21" t="str">
        <x:v>F1-R05 characteristics</x:v>
      </x:c>
      <x:c r="D82" s="21" t="n">
        <x:f>COUNTIF('Package Characteristics'!$B$5:$B$340,"F1-R05")</x:f>
        <x:v>12</x:v>
      </x:c>
      <x:c r="E82" s="21" t="n">
        <x:v>12</x:v>
      </x:c>
      <x:c r="F82" s="21" t="str">
        <x:f>IF(ABS(IF(ISNUMBER(D82),D82,0)-IF(ISNUMBER(E82),E82,0))&lt;0.00001,IF(AND(ISTEXT(D82),ISTEXT(E82)),IF(D82=E82,"PASS","FAIL"),"PASS"),IF(D82=E82,"PASS","FAIL"))</x:f>
        <x:v>PASS</x:v>
      </x:c>
    </x:row>
    <x:row r="83">
      <x:c r="A83" s="21" t="str">
        <x:v>A079</x:v>
      </x:c>
      <x:c r="B83" s="21" t="str">
        <x:v>source</x:v>
      </x:c>
      <x:c r="C83" s="21" t="str">
        <x:v>F1-R06 characteristics</x:v>
      </x:c>
      <x:c r="D83" s="21" t="n">
        <x:f>COUNTIF('Package Characteristics'!$B$5:$B$340,"F1-R06")</x:f>
        <x:v>12</x:v>
      </x:c>
      <x:c r="E83" s="21" t="n">
        <x:v>12</x:v>
      </x:c>
      <x:c r="F83" s="21" t="str">
        <x:f>IF(ABS(IF(ISNUMBER(D83),D83,0)-IF(ISNUMBER(E83),E83,0))&lt;0.00001,IF(AND(ISTEXT(D83),ISTEXT(E83)),IF(D83=E83,"PASS","FAIL"),"PASS"),IF(D83=E83,"PASS","FAIL"))</x:f>
        <x:v>PASS</x:v>
      </x:c>
    </x:row>
    <x:row r="84">
      <x:c r="A84" s="21" t="str">
        <x:v>A080</x:v>
      </x:c>
      <x:c r="B84" s="21" t="str">
        <x:v>source</x:v>
      </x:c>
      <x:c r="C84" s="21" t="str">
        <x:v>F1-R07 characteristics</x:v>
      </x:c>
      <x:c r="D84" s="21" t="n">
        <x:f>COUNTIF('Package Characteristics'!$B$5:$B$340,"F1-R07")</x:f>
        <x:v>12</x:v>
      </x:c>
      <x:c r="E84" s="21" t="n">
        <x:v>12</x:v>
      </x:c>
      <x:c r="F84" s="21" t="str">
        <x:f>IF(ABS(IF(ISNUMBER(D84),D84,0)-IF(ISNUMBER(E84),E84,0))&lt;0.00001,IF(AND(ISTEXT(D84),ISTEXT(E84)),IF(D84=E84,"PASS","FAIL"),"PASS"),IF(D84=E84,"PASS","FAIL"))</x:f>
        <x:v>PASS</x:v>
      </x:c>
    </x:row>
    <x:row r="85">
      <x:c r="A85" s="21" t="str">
        <x:v>A081</x:v>
      </x:c>
      <x:c r="B85" s="21" t="str">
        <x:v>source</x:v>
      </x:c>
      <x:c r="C85" s="21" t="str">
        <x:v>F1-F01 characteristics</x:v>
      </x:c>
      <x:c r="D85" s="21" t="n">
        <x:f>COUNTIF('Package Characteristics'!$B$5:$B$340,"F1-F01")</x:f>
        <x:v>12</x:v>
      </x:c>
      <x:c r="E85" s="21" t="n">
        <x:v>12</x:v>
      </x:c>
      <x:c r="F85" s="21" t="str">
        <x:f>IF(ABS(IF(ISNUMBER(D85),D85,0)-IF(ISNUMBER(E85),E85,0))&lt;0.00001,IF(AND(ISTEXT(D85),ISTEXT(E85)),IF(D85=E85,"PASS","FAIL"),"PASS"),IF(D85=E85,"PASS","FAIL"))</x:f>
        <x:v>PASS</x:v>
      </x:c>
    </x:row>
    <x:row r="86">
      <x:c r="A86" s="21" t="str">
        <x:v>A082</x:v>
      </x:c>
      <x:c r="B86" s="21" t="str">
        <x:v>source</x:v>
      </x:c>
      <x:c r="C86" s="21" t="str">
        <x:v>F2-A01 characteristics</x:v>
      </x:c>
      <x:c r="D86" s="21" t="n">
        <x:f>COUNTIF('Package Characteristics'!$B$5:$B$340,"F2-A01")</x:f>
        <x:v>12</x:v>
      </x:c>
      <x:c r="E86" s="21" t="n">
        <x:v>12</x:v>
      </x:c>
      <x:c r="F86" s="21" t="str">
        <x:f>IF(ABS(IF(ISNUMBER(D86),D86,0)-IF(ISNUMBER(E86),E86,0))&lt;0.00001,IF(AND(ISTEXT(D86),ISTEXT(E86)),IF(D86=E86,"PASS","FAIL"),"PASS"),IF(D86=E86,"PASS","FAIL"))</x:f>
        <x:v>PASS</x:v>
      </x:c>
    </x:row>
    <x:row r="87">
      <x:c r="A87" s="21" t="str">
        <x:v>A083</x:v>
      </x:c>
      <x:c r="B87" s="21" t="str">
        <x:v>source</x:v>
      </x:c>
      <x:c r="C87" s="21" t="str">
        <x:v>F2-A02 characteristics</x:v>
      </x:c>
      <x:c r="D87" s="21" t="n">
        <x:f>COUNTIF('Package Characteristics'!$B$5:$B$340,"F2-A02")</x:f>
        <x:v>12</x:v>
      </x:c>
      <x:c r="E87" s="21" t="n">
        <x:v>12</x:v>
      </x:c>
      <x:c r="F87" s="21" t="str">
        <x:f>IF(ABS(IF(ISNUMBER(D87),D87,0)-IF(ISNUMBER(E87),E87,0))&lt;0.00001,IF(AND(ISTEXT(D87),ISTEXT(E87)),IF(D87=E87,"PASS","FAIL"),"PASS"),IF(D87=E87,"PASS","FAIL"))</x:f>
        <x:v>PASS</x:v>
      </x:c>
    </x:row>
    <x:row r="88">
      <x:c r="A88" s="21" t="str">
        <x:v>A084</x:v>
      </x:c>
      <x:c r="B88" s="21" t="str">
        <x:v>source</x:v>
      </x:c>
      <x:c r="C88" s="21" t="str">
        <x:v>F2-A03 characteristics</x:v>
      </x:c>
      <x:c r="D88" s="21" t="n">
        <x:f>COUNTIF('Package Characteristics'!$B$5:$B$340,"F2-A03")</x:f>
        <x:v>12</x:v>
      </x:c>
      <x:c r="E88" s="21" t="n">
        <x:v>12</x:v>
      </x:c>
      <x:c r="F88" s="21" t="str">
        <x:f>IF(ABS(IF(ISNUMBER(D88),D88,0)-IF(ISNUMBER(E88),E88,0))&lt;0.00001,IF(AND(ISTEXT(D88),ISTEXT(E88)),IF(D88=E88,"PASS","FAIL"),"PASS"),IF(D88=E88,"PASS","FAIL"))</x:f>
        <x:v>PASS</x:v>
      </x:c>
    </x:row>
    <x:row r="89">
      <x:c r="A89" s="21" t="str">
        <x:v>A085</x:v>
      </x:c>
      <x:c r="B89" s="21" t="str">
        <x:v>source</x:v>
      </x:c>
      <x:c r="C89" s="21" t="str">
        <x:v>F2-A04 characteristics</x:v>
      </x:c>
      <x:c r="D89" s="21" t="n">
        <x:f>COUNTIF('Package Characteristics'!$B$5:$B$340,"F2-A04")</x:f>
        <x:v>12</x:v>
      </x:c>
      <x:c r="E89" s="21" t="n">
        <x:v>12</x:v>
      </x:c>
      <x:c r="F89" s="21" t="str">
        <x:f>IF(ABS(IF(ISNUMBER(D89),D89,0)-IF(ISNUMBER(E89),E89,0))&lt;0.00001,IF(AND(ISTEXT(D89),ISTEXT(E89)),IF(D89=E89,"PASS","FAIL"),"PASS"),IF(D89=E89,"PASS","FAIL"))</x:f>
        <x:v>PASS</x:v>
      </x:c>
    </x:row>
    <x:row r="90">
      <x:c r="A90" s="21" t="str">
        <x:v>A086</x:v>
      </x:c>
      <x:c r="B90" s="21" t="str">
        <x:v>source</x:v>
      </x:c>
      <x:c r="C90" s="21" t="str">
        <x:v>F2-A05 characteristics</x:v>
      </x:c>
      <x:c r="D90" s="21" t="n">
        <x:f>COUNTIF('Package Characteristics'!$B$5:$B$340,"F2-A05")</x:f>
        <x:v>12</x:v>
      </x:c>
      <x:c r="E90" s="21" t="n">
        <x:v>12</x:v>
      </x:c>
      <x:c r="F90" s="21" t="str">
        <x:f>IF(ABS(IF(ISNUMBER(D90),D90,0)-IF(ISNUMBER(E90),E90,0))&lt;0.00001,IF(AND(ISTEXT(D90),ISTEXT(E90)),IF(D90=E90,"PASS","FAIL"),"PASS"),IF(D90=E90,"PASS","FAIL"))</x:f>
        <x:v>PASS</x:v>
      </x:c>
    </x:row>
    <x:row r="91">
      <x:c r="A91" s="21" t="str">
        <x:v>A087</x:v>
      </x:c>
      <x:c r="B91" s="21" t="str">
        <x:v>source</x:v>
      </x:c>
      <x:c r="C91" s="21" t="str">
        <x:v>F2-A06 characteristics</x:v>
      </x:c>
      <x:c r="D91" s="21" t="n">
        <x:f>COUNTIF('Package Characteristics'!$B$5:$B$340,"F2-A06")</x:f>
        <x:v>12</x:v>
      </x:c>
      <x:c r="E91" s="21" t="n">
        <x:v>12</x:v>
      </x:c>
      <x:c r="F91" s="21" t="str">
        <x:f>IF(ABS(IF(ISNUMBER(D91),D91,0)-IF(ISNUMBER(E91),E91,0))&lt;0.00001,IF(AND(ISTEXT(D91),ISTEXT(E91)),IF(D91=E91,"PASS","FAIL"),"PASS"),IF(D91=E91,"PASS","FAIL"))</x:f>
        <x:v>PASS</x:v>
      </x:c>
    </x:row>
    <x:row r="92">
      <x:c r="A92" s="21" t="str">
        <x:v>A088</x:v>
      </x:c>
      <x:c r="B92" s="21" t="str">
        <x:v>source</x:v>
      </x:c>
      <x:c r="C92" s="21" t="str">
        <x:v>F2-R01 characteristics</x:v>
      </x:c>
      <x:c r="D92" s="21" t="n">
        <x:f>COUNTIF('Package Characteristics'!$B$5:$B$340,"F2-R01")</x:f>
        <x:v>12</x:v>
      </x:c>
      <x:c r="E92" s="21" t="n">
        <x:v>12</x:v>
      </x:c>
      <x:c r="F92" s="21" t="str">
        <x:f>IF(ABS(IF(ISNUMBER(D92),D92,0)-IF(ISNUMBER(E92),E92,0))&lt;0.00001,IF(AND(ISTEXT(D92),ISTEXT(E92)),IF(D92=E92,"PASS","FAIL"),"PASS"),IF(D92=E92,"PASS","FAIL"))</x:f>
        <x:v>PASS</x:v>
      </x:c>
    </x:row>
    <x:row r="93">
      <x:c r="A93" s="21" t="str">
        <x:v>A089</x:v>
      </x:c>
      <x:c r="B93" s="21" t="str">
        <x:v>source</x:v>
      </x:c>
      <x:c r="C93" s="21" t="str">
        <x:v>F2-R02 characteristics</x:v>
      </x:c>
      <x:c r="D93" s="21" t="n">
        <x:f>COUNTIF('Package Characteristics'!$B$5:$B$340,"F2-R02")</x:f>
        <x:v>12</x:v>
      </x:c>
      <x:c r="E93" s="21" t="n">
        <x:v>12</x:v>
      </x:c>
      <x:c r="F93" s="21" t="str">
        <x:f>IF(ABS(IF(ISNUMBER(D93),D93,0)-IF(ISNUMBER(E93),E93,0))&lt;0.00001,IF(AND(ISTEXT(D93),ISTEXT(E93)),IF(D93=E93,"PASS","FAIL"),"PASS"),IF(D93=E93,"PASS","FAIL"))</x:f>
        <x:v>PASS</x:v>
      </x:c>
    </x:row>
    <x:row r="94">
      <x:c r="A94" s="21" t="str">
        <x:v>A090</x:v>
      </x:c>
      <x:c r="B94" s="21" t="str">
        <x:v>source</x:v>
      </x:c>
      <x:c r="C94" s="21" t="str">
        <x:v>F2-R03 characteristics</x:v>
      </x:c>
      <x:c r="D94" s="21" t="n">
        <x:f>COUNTIF('Package Characteristics'!$B$5:$B$340,"F2-R03")</x:f>
        <x:v>12</x:v>
      </x:c>
      <x:c r="E94" s="21" t="n">
        <x:v>12</x:v>
      </x:c>
      <x:c r="F94" s="21" t="str">
        <x:f>IF(ABS(IF(ISNUMBER(D94),D94,0)-IF(ISNUMBER(E94),E94,0))&lt;0.00001,IF(AND(ISTEXT(D94),ISTEXT(E94)),IF(D94=E94,"PASS","FAIL"),"PASS"),IF(D94=E94,"PASS","FAIL"))</x:f>
        <x:v>PASS</x:v>
      </x:c>
    </x:row>
    <x:row r="95">
      <x:c r="A95" s="21" t="str">
        <x:v>A091</x:v>
      </x:c>
      <x:c r="B95" s="21" t="str">
        <x:v>source</x:v>
      </x:c>
      <x:c r="C95" s="21" t="str">
        <x:v>F2-R04 characteristics</x:v>
      </x:c>
      <x:c r="D95" s="21" t="n">
        <x:f>COUNTIF('Package Characteristics'!$B$5:$B$340,"F2-R04")</x:f>
        <x:v>12</x:v>
      </x:c>
      <x:c r="E95" s="21" t="n">
        <x:v>12</x:v>
      </x:c>
      <x:c r="F95" s="21" t="str">
        <x:f>IF(ABS(IF(ISNUMBER(D95),D95,0)-IF(ISNUMBER(E95),E95,0))&lt;0.00001,IF(AND(ISTEXT(D95),ISTEXT(E95)),IF(D95=E95,"PASS","FAIL"),"PASS"),IF(D95=E95,"PASS","FAIL"))</x:f>
        <x:v>PASS</x:v>
      </x:c>
    </x:row>
    <x:row r="96">
      <x:c r="A96" s="21" t="str">
        <x:v>A092</x:v>
      </x:c>
      <x:c r="B96" s="21" t="str">
        <x:v>source</x:v>
      </x:c>
      <x:c r="C96" s="21" t="str">
        <x:v>F2-R05 characteristics</x:v>
      </x:c>
      <x:c r="D96" s="21" t="n">
        <x:f>COUNTIF('Package Characteristics'!$B$5:$B$340,"F2-R05")</x:f>
        <x:v>12</x:v>
      </x:c>
      <x:c r="E96" s="21" t="n">
        <x:v>12</x:v>
      </x:c>
      <x:c r="F96" s="21" t="str">
        <x:f>IF(ABS(IF(ISNUMBER(D96),D96,0)-IF(ISNUMBER(E96),E96,0))&lt;0.00001,IF(AND(ISTEXT(D96),ISTEXT(E96)),IF(D96=E96,"PASS","FAIL"),"PASS"),IF(D96=E96,"PASS","FAIL"))</x:f>
        <x:v>PASS</x:v>
      </x:c>
    </x:row>
    <x:row r="97">
      <x:c r="A97" s="21" t="str">
        <x:v>A093</x:v>
      </x:c>
      <x:c r="B97" s="21" t="str">
        <x:v>source</x:v>
      </x:c>
      <x:c r="C97" s="21" t="str">
        <x:v>F2-R06 characteristics</x:v>
      </x:c>
      <x:c r="D97" s="21" t="n">
        <x:f>COUNTIF('Package Characteristics'!$B$5:$B$340,"F2-R06")</x:f>
        <x:v>12</x:v>
      </x:c>
      <x:c r="E97" s="21" t="n">
        <x:v>12</x:v>
      </x:c>
      <x:c r="F97" s="21" t="str">
        <x:f>IF(ABS(IF(ISNUMBER(D97),D97,0)-IF(ISNUMBER(E97),E97,0))&lt;0.00001,IF(AND(ISTEXT(D97),ISTEXT(E97)),IF(D97=E97,"PASS","FAIL"),"PASS"),IF(D97=E97,"PASS","FAIL"))</x:f>
        <x:v>PASS</x:v>
      </x:c>
    </x:row>
    <x:row r="98">
      <x:c r="A98" s="21" t="str">
        <x:v>A094</x:v>
      </x:c>
      <x:c r="B98" s="21" t="str">
        <x:v>source</x:v>
      </x:c>
      <x:c r="C98" s="21" t="str">
        <x:v>F2-R07 characteristics</x:v>
      </x:c>
      <x:c r="D98" s="21" t="n">
        <x:f>COUNTIF('Package Characteristics'!$B$5:$B$340,"F2-R07")</x:f>
        <x:v>12</x:v>
      </x:c>
      <x:c r="E98" s="21" t="n">
        <x:v>12</x:v>
      </x:c>
      <x:c r="F98" s="21" t="str">
        <x:f>IF(ABS(IF(ISNUMBER(D98),D98,0)-IF(ISNUMBER(E98),E98,0))&lt;0.00001,IF(AND(ISTEXT(D98),ISTEXT(E98)),IF(D98=E98,"PASS","FAIL"),"PASS"),IF(D98=E98,"PASS","FAIL"))</x:f>
        <x:v>PASS</x:v>
      </x:c>
    </x:row>
    <x:row r="99">
      <x:c r="A99" s="21" t="str">
        <x:v>A095</x:v>
      </x:c>
      <x:c r="B99" s="21" t="str">
        <x:v>source</x:v>
      </x:c>
      <x:c r="C99" s="21" t="str">
        <x:v>F2-F01 characteristics</x:v>
      </x:c>
      <x:c r="D99" s="21" t="n">
        <x:f>COUNTIF('Package Characteristics'!$B$5:$B$340,"F2-F01")</x:f>
        <x:v>12</x:v>
      </x:c>
      <x:c r="E99" s="21" t="n">
        <x:v>12</x:v>
      </x:c>
      <x:c r="F99" s="21" t="str">
        <x:f>IF(ABS(IF(ISNUMBER(D99),D99,0)-IF(ISNUMBER(E99),E99,0))&lt;0.00001,IF(AND(ISTEXT(D99),ISTEXT(E99)),IF(D99=E99,"PASS","FAIL"),"PASS"),IF(D99=E99,"PASS","FAIL"))</x:f>
        <x:v>PASS</x:v>
      </x:c>
    </x:row>
    <x:row r="100">
      <x:c r="A100" s="21" t="str">
        <x:v>A096</x:v>
      </x:c>
      <x:c r="B100" s="21" t="str">
        <x:v>event</x:v>
      </x:c>
      <x:c r="C100" s="21" t="str">
        <x:v>QE03-P01 gates</x:v>
      </x:c>
      <x:c r="D100" s="21" t="n">
        <x:f>COUNTIF('Event Gates'!$B$5:$B$88,"QE03-P01")</x:f>
        <x:v>42</x:v>
      </x:c>
      <x:c r="E100" s="21" t="n">
        <x:v>42</x:v>
      </x:c>
      <x:c r="F100" s="21" t="str">
        <x:f>IF(ABS(IF(ISNUMBER(D100),D100,0)-IF(ISNUMBER(E100),E100,0))&lt;0.00001,IF(AND(ISTEXT(D100),ISTEXT(E100)),IF(D100=E100,"PASS","FAIL"),"PASS"),IF(D100=E100,"PASS","FAIL"))</x:f>
        <x:v>PASS</x:v>
      </x:c>
    </x:row>
    <x:row r="101">
      <x:c r="A101" s="21" t="str">
        <x:v>A097</x:v>
      </x:c>
      <x:c r="B101" s="21" t="str">
        <x:v>event</x:v>
      </x:c>
      <x:c r="C101" s="21" t="str">
        <x:v>QE03-P01 dossier</x:v>
      </x:c>
      <x:c r="D101" s="21" t="n">
        <x:f>COUNTIF('Dossier Bindings'!$B$5:$B$438,"QE03-P01")</x:f>
        <x:v>217</x:v>
      </x:c>
      <x:c r="E101" s="21" t="n">
        <x:v>217</x:v>
      </x:c>
      <x:c r="F101" s="21" t="str">
        <x:f>IF(ABS(IF(ISNUMBER(D101),D101,0)-IF(ISNUMBER(E101),E101,0))&lt;0.00001,IF(AND(ISTEXT(D101),ISTEXT(E101)),IF(D101=E101,"PASS","FAIL"),"PASS"),IF(D101=E101,"PASS","FAIL"))</x:f>
        <x:v>PASS</x:v>
      </x:c>
    </x:row>
    <x:row r="102">
      <x:c r="A102" s="21" t="str">
        <x:v>A098</x:v>
      </x:c>
      <x:c r="B102" s="21" t="str">
        <x:v>event</x:v>
      </x:c>
      <x:c r="C102" s="21" t="str">
        <x:v>QE03-P01 safeing</x:v>
      </x:c>
      <x:c r="D102" s="21" t="n">
        <x:f>COUNTIF('Safeing Paths'!$B$5:$B$76,"QE03-P01")</x:f>
        <x:v>36</x:v>
      </x:c>
      <x:c r="E102" s="21" t="n">
        <x:v>36</x:v>
      </x:c>
      <x:c r="F102" s="21" t="str">
        <x:f>IF(ABS(IF(ISNUMBER(D102),D102,0)-IF(ISNUMBER(E102),E102,0))&lt;0.00001,IF(AND(ISTEXT(D102),ISTEXT(E102)),IF(D102=E102,"PASS","FAIL"),"PASS"),IF(D102=E102,"PASS","FAIL"))</x:f>
        <x:v>PASS</x:v>
      </x:c>
    </x:row>
    <x:row r="103">
      <x:c r="A103" s="21" t="str">
        <x:v>A099</x:v>
      </x:c>
      <x:c r="B103" s="21" t="str">
        <x:v>event</x:v>
      </x:c>
      <x:c r="C103" s="21" t="str">
        <x:v>QE03-P01 clock</x:v>
      </x:c>
      <x:c r="D103" s="21" t="n">
        <x:f>COUNTIF('Event Clock'!$B$5:$B$52,"QE03-P01")</x:f>
        <x:v>24</x:v>
      </x:c>
      <x:c r="E103" s="21" t="n">
        <x:v>24</x:v>
      </x:c>
      <x:c r="F103" s="21" t="str">
        <x:f>IF(ABS(IF(ISNUMBER(D103),D103,0)-IF(ISNUMBER(E103),E103,0))&lt;0.00001,IF(AND(ISTEXT(D103),ISTEXT(E103)),IF(D103=E103,"PASS","FAIL"),"PASS"),IF(D103=E103,"PASS","FAIL"))</x:f>
        <x:v>PASS</x:v>
      </x:c>
    </x:row>
    <x:row r="104">
      <x:c r="A104" s="21" t="str">
        <x:v>A100</x:v>
      </x:c>
      <x:c r="B104" s="21" t="str">
        <x:v>return</x:v>
      </x:c>
      <x:c r="C104" s="21" t="str">
        <x:v>QE03-P01 return objects</x:v>
      </x:c>
      <x:c r="D104" s="21" t="n">
        <x:f>COUNTIF('Pair Return'!$B$5:$B$72,"QE03-P01")</x:f>
        <x:v>34</x:v>
      </x:c>
      <x:c r="E104" s="21" t="n">
        <x:v>34</x:v>
      </x:c>
      <x:c r="F104" s="21" t="str">
        <x:f>IF(ABS(IF(ISNUMBER(D104),D104,0)-IF(ISNUMBER(E104),E104,0))&lt;0.00001,IF(AND(ISTEXT(D104),ISTEXT(E104)),IF(D104=E104,"PASS","FAIL"),"PASS"),IF(D104=E104,"PASS","FAIL"))</x:f>
        <x:v>PASS</x:v>
      </x:c>
    </x:row>
    <x:row r="105">
      <x:c r="A105" s="21" t="str">
        <x:v>A101</x:v>
      </x:c>
      <x:c r="B105" s="21" t="str">
        <x:v>evidence</x:v>
      </x:c>
      <x:c r="C105" s="21" t="str">
        <x:v>QE03-P01 replay</x:v>
      </x:c>
      <x:c r="D105" s="21" t="n">
        <x:f>COUNTIF('Evidence Replay'!$B$5:$B$52,"QE03-P01")</x:f>
        <x:v>24</x:v>
      </x:c>
      <x:c r="E105" s="21" t="n">
        <x:v>24</x:v>
      </x:c>
      <x:c r="F105" s="21" t="str">
        <x:f>IF(ABS(IF(ISNUMBER(D105),D105,0)-IF(ISNUMBER(E105),E105,0))&lt;0.00001,IF(AND(ISTEXT(D105),ISTEXT(E105)),IF(D105=E105,"PASS","FAIL"),"PASS"),IF(D105=E105,"PASS","FAIL"))</x:f>
        <x:v>PASS</x:v>
      </x:c>
    </x:row>
    <x:row r="106">
      <x:c r="A106" s="21" t="str">
        <x:v>A102</x:v>
      </x:c>
      <x:c r="B106" s="21" t="str">
        <x:v>event</x:v>
      </x:c>
      <x:c r="C106" s="21" t="str">
        <x:v>QE03-R01 gates</x:v>
      </x:c>
      <x:c r="D106" s="21" t="n">
        <x:f>COUNTIF('Event Gates'!$B$5:$B$88,"QE03-R01")</x:f>
        <x:v>42</x:v>
      </x:c>
      <x:c r="E106" s="21" t="n">
        <x:v>42</x:v>
      </x:c>
      <x:c r="F106" s="21" t="str">
        <x:f>IF(ABS(IF(ISNUMBER(D106),D106,0)-IF(ISNUMBER(E106),E106,0))&lt;0.00001,IF(AND(ISTEXT(D106),ISTEXT(E106)),IF(D106=E106,"PASS","FAIL"),"PASS"),IF(D106=E106,"PASS","FAIL"))</x:f>
        <x:v>PASS</x:v>
      </x:c>
    </x:row>
    <x:row r="107">
      <x:c r="A107" s="21" t="str">
        <x:v>A103</x:v>
      </x:c>
      <x:c r="B107" s="21" t="str">
        <x:v>event</x:v>
      </x:c>
      <x:c r="C107" s="21" t="str">
        <x:v>QE03-R01 dossier</x:v>
      </x:c>
      <x:c r="D107" s="21" t="n">
        <x:f>COUNTIF('Dossier Bindings'!$B$5:$B$438,"QE03-R01")</x:f>
        <x:v>217</x:v>
      </x:c>
      <x:c r="E107" s="21" t="n">
        <x:v>217</x:v>
      </x:c>
      <x:c r="F107" s="21" t="str">
        <x:f>IF(ABS(IF(ISNUMBER(D107),D107,0)-IF(ISNUMBER(E107),E107,0))&lt;0.00001,IF(AND(ISTEXT(D107),ISTEXT(E107)),IF(D107=E107,"PASS","FAIL"),"PASS"),IF(D107=E107,"PASS","FAIL"))</x:f>
        <x:v>PASS</x:v>
      </x:c>
    </x:row>
    <x:row r="108">
      <x:c r="A108" s="21" t="str">
        <x:v>A104</x:v>
      </x:c>
      <x:c r="B108" s="21" t="str">
        <x:v>event</x:v>
      </x:c>
      <x:c r="C108" s="21" t="str">
        <x:v>QE03-R01 safeing</x:v>
      </x:c>
      <x:c r="D108" s="21" t="n">
        <x:f>COUNTIF('Safeing Paths'!$B$5:$B$76,"QE03-R01")</x:f>
        <x:v>36</x:v>
      </x:c>
      <x:c r="E108" s="21" t="n">
        <x:v>36</x:v>
      </x:c>
      <x:c r="F108" s="21" t="str">
        <x:f>IF(ABS(IF(ISNUMBER(D108),D108,0)-IF(ISNUMBER(E108),E108,0))&lt;0.00001,IF(AND(ISTEXT(D108),ISTEXT(E108)),IF(D108=E108,"PASS","FAIL"),"PASS"),IF(D108=E108,"PASS","FAIL"))</x:f>
        <x:v>PASS</x:v>
      </x:c>
    </x:row>
    <x:row r="109">
      <x:c r="A109" s="21" t="str">
        <x:v>A105</x:v>
      </x:c>
      <x:c r="B109" s="21" t="str">
        <x:v>event</x:v>
      </x:c>
      <x:c r="C109" s="21" t="str">
        <x:v>QE03-R01 clock</x:v>
      </x:c>
      <x:c r="D109" s="21" t="n">
        <x:f>COUNTIF('Event Clock'!$B$5:$B$52,"QE03-R01")</x:f>
        <x:v>24</x:v>
      </x:c>
      <x:c r="E109" s="21" t="n">
        <x:v>24</x:v>
      </x:c>
      <x:c r="F109" s="21" t="str">
        <x:f>IF(ABS(IF(ISNUMBER(D109),D109,0)-IF(ISNUMBER(E109),E109,0))&lt;0.00001,IF(AND(ISTEXT(D109),ISTEXT(E109)),IF(D109=E109,"PASS","FAIL"),"PASS"),IF(D109=E109,"PASS","FAIL"))</x:f>
        <x:v>PASS</x:v>
      </x:c>
    </x:row>
    <x:row r="110">
      <x:c r="A110" s="21" t="str">
        <x:v>A106</x:v>
      </x:c>
      <x:c r="B110" s="21" t="str">
        <x:v>return</x:v>
      </x:c>
      <x:c r="C110" s="21" t="str">
        <x:v>QE03-R01 return objects</x:v>
      </x:c>
      <x:c r="D110" s="21" t="n">
        <x:f>COUNTIF('Pair Return'!$B$5:$B$72,"QE03-R01")</x:f>
        <x:v>34</x:v>
      </x:c>
      <x:c r="E110" s="21" t="n">
        <x:v>34</x:v>
      </x:c>
      <x:c r="F110" s="21" t="str">
        <x:f>IF(ABS(IF(ISNUMBER(D110),D110,0)-IF(ISNUMBER(E110),E110,0))&lt;0.00001,IF(AND(ISTEXT(D110),ISTEXT(E110)),IF(D110=E110,"PASS","FAIL"),"PASS"),IF(D110=E110,"PASS","FAIL"))</x:f>
        <x:v>PASS</x:v>
      </x:c>
    </x:row>
    <x:row r="111">
      <x:c r="A111" s="21" t="str">
        <x:v>A107</x:v>
      </x:c>
      <x:c r="B111" s="21" t="str">
        <x:v>evidence</x:v>
      </x:c>
      <x:c r="C111" s="21" t="str">
        <x:v>QE03-R01 replay</x:v>
      </x:c>
      <x:c r="D111" s="21" t="n">
        <x:f>COUNTIF('Evidence Replay'!$B$5:$B$52,"QE03-R01")</x:f>
        <x:v>24</x:v>
      </x:c>
      <x:c r="E111" s="21" t="n">
        <x:v>24</x:v>
      </x:c>
      <x:c r="F111" s="21" t="str">
        <x:f>IF(ABS(IF(ISNUMBER(D111),D111,0)-IF(ISNUMBER(E111),E111,0))&lt;0.00001,IF(AND(ISTEXT(D111),ISTEXT(E111)),IF(D111=E111,"PASS","FAIL"),"PASS"),IF(D111=E111,"PASS","FAIL"))</x:f>
        <x:v>PASS</x:v>
      </x:c>
    </x:row>
    <x:row r="112">
      <x:c r="A112" s="21" t="str">
        <x:v>A108</x:v>
      </x:c>
      <x:c r="B112" s="21" t="str">
        <x:v>physical</x:v>
      </x:c>
      <x:c r="C112" s="21" t="str">
        <x:v>observed uncertainty values</x:v>
      </x:c>
      <x:c r="D112" s="21" t="n">
        <x:f>COUNT(Uncertainty!$F$5:$F$32)</x:f>
        <x:v>0</x:v>
      </x:c>
      <x:c r="E112" s="21" t="n">
        <x:v>0</x:v>
      </x:c>
      <x:c r="F112" s="21" t="str">
        <x:f>IF(ABS(IF(ISNUMBER(D112),D112,0)-IF(ISNUMBER(E112),E112,0))&lt;0.00001,IF(AND(ISTEXT(D112),ISTEXT(E112)),IF(D112=E112,"PASS","FAIL"),"PASS"),IF(D112=E112,"PASS","FAIL"))</x:f>
        <x:v>PASS</x:v>
      </x:c>
    </x:row>
    <x:row r="113">
      <x:c r="A113" s="21" t="str">
        <x:v>A109</x:v>
      </x:c>
      <x:c r="B113" s="21" t="str">
        <x:v>source</x:v>
      </x:c>
      <x:c r="C113" s="21" t="str">
        <x:v>gross custody</x:v>
      </x:c>
      <x:c r="D113" s="21" t="n">
        <x:f>Capacity!$E$6</x:f>
        <x:v>8400</x:v>
      </x:c>
      <x:c r="E113" s="21" t="n">
        <x:v>8400</x:v>
      </x:c>
      <x:c r="F113" s="21" t="str">
        <x:f>IF(ABS(IF(ISNUMBER(D113),D113,0)-IF(ISNUMBER(E113),E113,0))&lt;0.00001,IF(AND(ISTEXT(D113),ISTEXT(E113)),IF(D113=E113,"PASS","FAIL"),"PASS"),IF(D113=E113,"PASS","FAIL"))</x:f>
        <x:v>PASS</x:v>
      </x:c>
    </x:row>
    <x:row r="114">
      <x:c r="A114" s="21" t="str">
        <x:v>A110</x:v>
      </x:c>
      <x:c r="B114" s="21" t="str">
        <x:v>source</x:v>
      </x:c>
      <x:c r="C114" s="21" t="str">
        <x:v>maximum class event source</x:v>
      </x:c>
      <x:c r="D114" s="21" t="n">
        <x:f>Capacity!$E$7</x:f>
        <x:v>6500</x:v>
      </x:c>
      <x:c r="E114" s="21" t="n">
        <x:v>6500</x:v>
      </x:c>
      <x:c r="F114" s="21" t="str">
        <x:f>IF(ABS(IF(ISNUMBER(D114),D114,0)-IF(ISNUMBER(E114),E114,0))&lt;0.00001,IF(AND(ISTEXT(D114),ISTEXT(E114)),IF(D114=E114,"PASS","FAIL"),"PASS"),IF(D114=E114,"PASS","FAIL"))</x:f>
        <x:v>PASS</x:v>
      </x:c>
    </x:row>
    <x:row r="115">
      <x:c r="A115" s="21" t="str">
        <x:v>A111</x:v>
      </x:c>
      <x:c r="B115" s="21" t="str">
        <x:v>source</x:v>
      </x:c>
      <x:c r="C115" s="21" t="str">
        <x:v>maximum first-event source</x:v>
      </x:c>
      <x:c r="D115" s="21" t="n">
        <x:f>Capacity!$E$8</x:f>
        <x:v>500</x:v>
      </x:c>
      <x:c r="E115" s="21" t="n">
        <x:v>500</x:v>
      </x:c>
      <x:c r="F115" s="21" t="str">
        <x:f>IF(ABS(IF(ISNUMBER(D115),D115,0)-IF(ISNUMBER(E115),E115,0))&lt;0.00001,IF(AND(ISTEXT(D115),ISTEXT(E115)),IF(D115=E115,"PASS","FAIL"),"PASS"),IF(D115=E115,"PASS","FAIL"))</x:f>
        <x:v>PASS</x:v>
      </x:c>
    </x:row>
    <x:row r="116">
      <x:c r="A116" s="21" t="str">
        <x:v>A112</x:v>
      </x:c>
      <x:c r="B116" s="21" t="str">
        <x:v>population</x:v>
      </x:c>
      <x:c r="C116" s="21" t="str">
        <x:v>root families</x:v>
      </x:c>
      <x:c r="D116" s="21" t="n">
        <x:f>COUNTA('Reserve Alternatives'!$A$5:$A$12)</x:f>
        <x:v>8</x:v>
      </x:c>
      <x:c r="E116" s="21" t="n">
        <x:v>8</x:v>
      </x:c>
      <x:c r="F116" s="21" t="str">
        <x:f>IF(ABS(IF(ISNUMBER(D116),D116,0)-IF(ISNUMBER(E116),E116,0))&lt;0.00001,IF(AND(ISTEXT(D116),ISTEXT(E116)),IF(D116=E116,"PASS","FAIL"),"PASS"),IF(D116=E116,"PASS","FAIL"))</x:f>
        <x:v>PASS</x:v>
      </x:c>
    </x:row>
    <x:row r="117">
      <x:c r="A117" s="21" t="str">
        <x:v>A113</x:v>
      </x:c>
      <x:c r="B117" s="21" t="str">
        <x:v>behavior</x:v>
      </x:c>
      <x:c r="C117" s="21" t="str">
        <x:v>failed tests</x:v>
      </x:c>
      <x:c r="D117" s="21" t="n">
        <x:f>COUNTIF('Executable Tests'!$G$5:$G$148,"FAIL")</x:f>
        <x:v>0</x:v>
      </x:c>
      <x:c r="E117" s="21" t="n">
        <x:v>0</x:v>
      </x:c>
      <x:c r="F117" s="21" t="str">
        <x:f>IF(ABS(IF(ISNUMBER(D117),D117,0)-IF(ISNUMBER(E117),E117,0))&lt;0.00001,IF(AND(ISTEXT(D117),ISTEXT(E117)),IF(D117=E117,"PASS","FAIL"),"PASS"),IF(D117=E117,"PASS","FAIL"))</x:f>
        <x:v>PASS</x:v>
      </x:c>
    </x:row>
    <x:row r="118">
      <x:c r="A118" s="21" t="str">
        <x:v>A114</x:v>
      </x:c>
      <x:c r="B118" s="21" t="str">
        <x:v>authority</x:v>
      </x:c>
      <x:c r="C118" s="21" t="str">
        <x:v>accepted decisions</x:v>
      </x:c>
      <x:c r="D118" s="21" t="n">
        <x:f>COUNTIF(Decisions!$C$5:$C$9,"ACCEPTED")</x:f>
        <x:v>0</x:v>
      </x:c>
      <x:c r="E118" s="21" t="n">
        <x:v>0</x:v>
      </x:c>
      <x:c r="F118" s="21" t="str">
        <x:f>IF(ABS(IF(ISNUMBER(D118),D118,0)-IF(ISNUMBER(E118),E118,0))&lt;0.00001,IF(AND(ISTEXT(D118),ISTEXT(E118)),IF(D118=E118,"PASS","FAIL"),"PASS"),IF(D118=E118,"PASS","FAIL"))</x:f>
        <x:v>PASS</x:v>
      </x:c>
    </x:row>
    <x:row r="119">
      <x:c r="A119" s="21" t="str">
        <x:v>A115</x:v>
      </x:c>
      <x:c r="B119" s="21" t="str">
        <x:v>authority</x:v>
      </x:c>
      <x:c r="C119" s="21" t="str">
        <x:v>credited attempts</x:v>
      </x:c>
      <x:c r="D119" s="21" t="n">
        <x:f>COUNTIF('Attempt Register'!$I$5:$I$6,"YES")</x:f>
        <x:v>0</x:v>
      </x:c>
      <x:c r="E119" s="21" t="n">
        <x:v>0</x:v>
      </x:c>
      <x:c r="F119" s="21" t="str">
        <x:f>IF(ABS(IF(ISNUMBER(D119),D119,0)-IF(ISNUMBER(E119),E119,0))&lt;0.00001,IF(AND(ISTEXT(D119),ISTEXT(E119)),IF(D119=E119,"PASS","FAIL"),"PASS"),IF(D119=E119,"PASS","FAIL"))</x:f>
        <x:v>PASS</x:v>
      </x:c>
    </x:row>
    <x:row r="120">
      <x:c r="A120" s="21" t="str">
        <x:v>A116</x:v>
      </x:c>
      <x:c r="B120" s="21" t="str">
        <x:v>physical</x:v>
      </x:c>
      <x:c r="C120" s="21" t="str">
        <x:v>accepted rate trials</x:v>
      </x:c>
      <x:c r="D120" s="21" t="n">
        <x:f>COUNTIF('Rate Qualification'!$H$5:$H$28,"ACCEPTED")</x:f>
        <x:v>0</x:v>
      </x:c>
      <x:c r="E120" s="21" t="n">
        <x:v>0</x:v>
      </x:c>
      <x:c r="F120" s="21" t="str">
        <x:f>IF(ABS(IF(ISNUMBER(D120),D120,0)-IF(ISNUMBER(E120),E120,0))&lt;0.00001,IF(AND(ISTEXT(D120),ISTEXT(E120)),IF(D120=E120,"PASS","FAIL"),"PASS"),IF(D120=E120,"PASS","FAIL"))</x:f>
        <x:v>PASS</x:v>
      </x:c>
    </x:row>
    <x:row r="121">
      <x:c r="A121" s="21" t="str">
        <x:v>A117</x:v>
      </x:c>
      <x:c r="B121" s="21" t="str">
        <x:v>physical</x:v>
      </x:c>
      <x:c r="C121" s="21" t="str">
        <x:v>accepted event gates</x:v>
      </x:c>
      <x:c r="D121" s="21" t="n">
        <x:f>COUNTIF('Event Gates'!$E$5:$E$88,"ACCEPTED")</x:f>
        <x:v>0</x:v>
      </x:c>
      <x:c r="E121" s="21" t="n">
        <x:v>0</x:v>
      </x:c>
      <x:c r="F121" s="21" t="str">
        <x:f>IF(ABS(IF(ISNUMBER(D121),D121,0)-IF(ISNUMBER(E121),E121,0))&lt;0.00001,IF(AND(ISTEXT(D121),ISTEXT(E121)),IF(D121=E121,"PASS","FAIL"),"PASS"),IF(D121=E121,"PASS","FAIL"))</x:f>
        <x:v>PASS</x:v>
      </x:c>
    </x:row>
    <x:row r="122">
      <x:c r="A122" s="21" t="str">
        <x:v>A118</x:v>
      </x:c>
      <x:c r="B122" s="21" t="str">
        <x:v>physical</x:v>
      </x:c>
      <x:c r="C122" s="21" t="str">
        <x:v>accepted dossiers</x:v>
      </x:c>
      <x:c r="D122" s="21" t="n">
        <x:f>COUNTIF('Dossier Bindings'!$F$5:$F$438,"ACCEPTED")</x:f>
        <x:v>0</x:v>
      </x:c>
      <x:c r="E122" s="21" t="n">
        <x:v>0</x:v>
      </x:c>
      <x:c r="F122" s="21" t="str">
        <x:f>IF(ABS(IF(ISNUMBER(D122),D122,0)-IF(ISNUMBER(E122),E122,0))&lt;0.00001,IF(AND(ISTEXT(D122),ISTEXT(E122)),IF(D122=E122,"PASS","FAIL"),"PASS"),IF(D122=E122,"PASS","FAIL"))</x:f>
        <x:v>PASS</x:v>
      </x:c>
    </x:row>
    <x:row r="123">
      <x:c r="A123" s="21" t="str">
        <x:v>A119</x:v>
      </x:c>
      <x:c r="B123" s="21" t="str">
        <x:v>physical</x:v>
      </x:c>
      <x:c r="C123" s="21" t="str">
        <x:v>observed source values</x:v>
      </x:c>
      <x:c r="D123" s="21" t="n">
        <x:f>COUNT('Source Accounts'!$D$5:$D$24)</x:f>
        <x:v>0</x:v>
      </x:c>
      <x:c r="E123" s="21" t="n">
        <x:v>0</x:v>
      </x:c>
      <x:c r="F123" s="21" t="str">
        <x:f>IF(ABS(IF(ISNUMBER(D123),D123,0)-IF(ISNUMBER(E123),E123,0))&lt;0.00001,IF(AND(ISTEXT(D123),ISTEXT(E123)),IF(D123=E123,"PASS","FAIL"),"PASS"),IF(D123=E123,"PASS","FAIL"))</x:f>
        <x:v>PASS</x:v>
      </x:c>
    </x:row>
    <x:row r="124">
      <x:c r="A124" s="21" t="str">
        <x:v>A120</x:v>
      </x:c>
      <x:c r="B124" s="21" t="str">
        <x:v>physical</x:v>
      </x:c>
      <x:c r="C124" s="21" t="str">
        <x:v>observed uncertainty values</x:v>
      </x:c>
      <x:c r="D124" s="21" t="n">
        <x:f>COUNT(Uncertainty!$F$5:$F$32)</x:f>
        <x:v>0</x:v>
      </x:c>
      <x:c r="E124" s="21" t="n">
        <x:v>0</x:v>
      </x:c>
      <x:c r="F124" s="21" t="str">
        <x:f>IF(ABS(IF(ISNUMBER(D124),D124,0)-IF(ISNUMBER(E124),E124,0))&lt;0.00001,IF(AND(ISTEXT(D124),ISTEXT(E124)),IF(D124=E124,"PASS","FAIL"),"PASS"),IF(D124=E124,"PASS","FAIL"))</x:f>
        <x:v>PASS</x:v>
      </x:c>
    </x:row>
    <x:row r="125">
      <x:c r="A125" s="21" t="str">
        <x:v>A121</x:v>
      </x:c>
      <x:c r="B125" s="21" t="str">
        <x:v>source</x:v>
      </x:c>
      <x:c r="C125" s="21" t="str">
        <x:v>gross custody</x:v>
      </x:c>
      <x:c r="D125" s="21" t="n">
        <x:f>Capacity!$E$6</x:f>
        <x:v>8400</x:v>
      </x:c>
      <x:c r="E125" s="21" t="n">
        <x:v>8400</x:v>
      </x:c>
      <x:c r="F125" s="21" t="str">
        <x:f>IF(ABS(IF(ISNUMBER(D125),D125,0)-IF(ISNUMBER(E125),E125,0))&lt;0.00001,IF(AND(ISTEXT(D125),ISTEXT(E125)),IF(D125=E125,"PASS","FAIL"),"PASS"),IF(D125=E125,"PASS","FAIL"))</x:f>
        <x:v>PASS</x:v>
      </x:c>
    </x:row>
    <x:row r="126">
      <x:c r="A126" s="21" t="str">
        <x:v>A122</x:v>
      </x:c>
      <x:c r="B126" s="21" t="str">
        <x:v>source</x:v>
      </x:c>
      <x:c r="C126" s="21" t="str">
        <x:v>maximum class event source</x:v>
      </x:c>
      <x:c r="D126" s="21" t="n">
        <x:f>Capacity!$E$7</x:f>
        <x:v>6500</x:v>
      </x:c>
      <x:c r="E126" s="21" t="n">
        <x:v>6500</x:v>
      </x:c>
      <x:c r="F126" s="21" t="str">
        <x:f>IF(ABS(IF(ISNUMBER(D126),D126,0)-IF(ISNUMBER(E126),E126,0))&lt;0.00001,IF(AND(ISTEXT(D126),ISTEXT(E126)),IF(D126=E126,"PASS","FAIL"),"PASS"),IF(D126=E126,"PASS","FAIL"))</x:f>
        <x:v>PASS</x:v>
      </x:c>
    </x:row>
    <x:row r="127">
      <x:c r="A127" s="21" t="str">
        <x:v>A123</x:v>
      </x:c>
      <x:c r="B127" s="21" t="str">
        <x:v>source</x:v>
      </x:c>
      <x:c r="C127" s="21" t="str">
        <x:v>maximum first-event source</x:v>
      </x:c>
      <x:c r="D127" s="21" t="n">
        <x:f>Capacity!$E$8</x:f>
        <x:v>500</x:v>
      </x:c>
      <x:c r="E127" s="21" t="n">
        <x:v>500</x:v>
      </x:c>
      <x:c r="F127" s="21" t="str">
        <x:f>IF(ABS(IF(ISNUMBER(D127),D127,0)-IF(ISNUMBER(E127),E127,0))&lt;0.00001,IF(AND(ISTEXT(D127),ISTEXT(E127)),IF(D127=E127,"PASS","FAIL"),"PASS"),IF(D127=E127,"PASS","FAIL"))</x:f>
        <x:v>PASS</x:v>
      </x:c>
    </x:row>
    <x:row r="128">
      <x:c r="A128" s="21" t="str">
        <x:v>A124</x:v>
      </x:c>
      <x:c r="B128" s="21" t="str">
        <x:v>population</x:v>
      </x:c>
      <x:c r="C128" s="21" t="str">
        <x:v>root families</x:v>
      </x:c>
      <x:c r="D128" s="21" t="n">
        <x:f>COUNTA('Reserve Alternatives'!$A$5:$A$12)</x:f>
        <x:v>8</x:v>
      </x:c>
      <x:c r="E128" s="21" t="n">
        <x:v>8</x:v>
      </x:c>
      <x:c r="F128" s="21" t="str">
        <x:f>IF(ABS(IF(ISNUMBER(D128),D128,0)-IF(ISNUMBER(E128),E128,0))&lt;0.00001,IF(AND(ISTEXT(D128),ISTEXT(E128)),IF(D128=E128,"PASS","FAIL"),"PASS"),IF(D128=E128,"PASS","FAIL"))</x:f>
        <x:v>PASS</x:v>
      </x:c>
    </x:row>
    <x:row r="129">
      <x:c r="A129" s="21" t="str">
        <x:v>A125</x:v>
      </x:c>
      <x:c r="B129" s="21" t="str">
        <x:v>behavior</x:v>
      </x:c>
      <x:c r="C129" s="21" t="str">
        <x:v>failed tests</x:v>
      </x:c>
      <x:c r="D129" s="21" t="n">
        <x:f>COUNTIF('Executable Tests'!$G$5:$G$148,"FAIL")</x:f>
        <x:v>0</x:v>
      </x:c>
      <x:c r="E129" s="21" t="n">
        <x:v>0</x:v>
      </x:c>
      <x:c r="F129" s="21" t="str">
        <x:f>IF(ABS(IF(ISNUMBER(D129),D129,0)-IF(ISNUMBER(E129),E129,0))&lt;0.00001,IF(AND(ISTEXT(D129),ISTEXT(E129)),IF(D129=E129,"PASS","FAIL"),"PASS"),IF(D129=E129,"PASS","FAIL"))</x:f>
        <x:v>PASS</x:v>
      </x:c>
    </x:row>
    <x:row r="130">
      <x:c r="A130" s="21" t="str">
        <x:v>A126</x:v>
      </x:c>
      <x:c r="B130" s="21" t="str">
        <x:v>authority</x:v>
      </x:c>
      <x:c r="C130" s="21" t="str">
        <x:v>accepted decisions</x:v>
      </x:c>
      <x:c r="D130" s="21" t="n">
        <x:f>COUNTIF(Decisions!$C$5:$C$9,"ACCEPTED")</x:f>
        <x:v>0</x:v>
      </x:c>
      <x:c r="E130" s="21" t="n">
        <x:v>0</x:v>
      </x:c>
      <x:c r="F130" s="21" t="str">
        <x:f>IF(ABS(IF(ISNUMBER(D130),D130,0)-IF(ISNUMBER(E130),E130,0))&lt;0.00001,IF(AND(ISTEXT(D130),ISTEXT(E130)),IF(D130=E130,"PASS","FAIL"),"PASS"),IF(D130=E130,"PASS","FAIL"))</x:f>
        <x:v>PASS</x:v>
      </x:c>
    </x:row>
    <x:row r="131">
      <x:c r="A131" s="21" t="str">
        <x:v>A127</x:v>
      </x:c>
      <x:c r="B131" s="21" t="str">
        <x:v>authority</x:v>
      </x:c>
      <x:c r="C131" s="21" t="str">
        <x:v>credited attempts</x:v>
      </x:c>
      <x:c r="D131" s="21" t="n">
        <x:f>COUNTIF('Attempt Register'!$I$5:$I$6,"YES")</x:f>
        <x:v>0</x:v>
      </x:c>
      <x:c r="E131" s="21" t="n">
        <x:v>0</x:v>
      </x:c>
      <x:c r="F131" s="21" t="str">
        <x:f>IF(ABS(IF(ISNUMBER(D131),D131,0)-IF(ISNUMBER(E131),E131,0))&lt;0.00001,IF(AND(ISTEXT(D131),ISTEXT(E131)),IF(D131=E131,"PASS","FAIL"),"PASS"),IF(D131=E131,"PASS","FAIL"))</x:f>
        <x:v>PASS</x:v>
      </x:c>
    </x:row>
    <x:row r="132">
      <x:c r="A132" s="21" t="str">
        <x:v>A128</x:v>
      </x:c>
      <x:c r="B132" s="21" t="str">
        <x:v>physical</x:v>
      </x:c>
      <x:c r="C132" s="21" t="str">
        <x:v>accepted rate trials</x:v>
      </x:c>
      <x:c r="D132" s="21" t="n">
        <x:f>COUNTIF('Rate Qualification'!$H$5:$H$28,"ACCEPTED")</x:f>
        <x:v>0</x:v>
      </x:c>
      <x:c r="E132" s="21" t="n">
        <x:v>0</x:v>
      </x:c>
      <x:c r="F132" s="21" t="str">
        <x:f>IF(ABS(IF(ISNUMBER(D132),D132,0)-IF(ISNUMBER(E132),E132,0))&lt;0.00001,IF(AND(ISTEXT(D132),ISTEXT(E132)),IF(D132=E132,"PASS","FAIL"),"PASS"),IF(D132=E132,"PASS","FAIL"))</x:f>
        <x:v>PASS</x:v>
      </x:c>
    </x:row>
    <x:row r="133">
      <x:c r="A133" s="21" t="str">
        <x:v>A129</x:v>
      </x:c>
      <x:c r="B133" s="21" t="str">
        <x:v>physical</x:v>
      </x:c>
      <x:c r="C133" s="21" t="str">
        <x:v>accepted event gates</x:v>
      </x:c>
      <x:c r="D133" s="21" t="n">
        <x:f>COUNTIF('Event Gates'!$E$5:$E$88,"ACCEPTED")</x:f>
        <x:v>0</x:v>
      </x:c>
      <x:c r="E133" s="21" t="n">
        <x:v>0</x:v>
      </x:c>
      <x:c r="F133" s="21" t="str">
        <x:f>IF(ABS(IF(ISNUMBER(D133),D133,0)-IF(ISNUMBER(E133),E133,0))&lt;0.00001,IF(AND(ISTEXT(D133),ISTEXT(E133)),IF(D133=E133,"PASS","FAIL"),"PASS"),IF(D133=E133,"PASS","FAIL"))</x:f>
        <x:v>PASS</x:v>
      </x:c>
    </x:row>
    <x:row r="134">
      <x:c r="A134" s="21" t="str">
        <x:v>A130</x:v>
      </x:c>
      <x:c r="B134" s="21" t="str">
        <x:v>physical</x:v>
      </x:c>
      <x:c r="C134" s="21" t="str">
        <x:v>accepted dossiers</x:v>
      </x:c>
      <x:c r="D134" s="21" t="n">
        <x:f>COUNTIF('Dossier Bindings'!$F$5:$F$438,"ACCEPTED")</x:f>
        <x:v>0</x:v>
      </x:c>
      <x:c r="E134" s="21" t="n">
        <x:v>0</x:v>
      </x:c>
      <x:c r="F134" s="21" t="str">
        <x:f>IF(ABS(IF(ISNUMBER(D134),D134,0)-IF(ISNUMBER(E134),E134,0))&lt;0.00001,IF(AND(ISTEXT(D134),ISTEXT(E134)),IF(D134=E134,"PASS","FAIL"),"PASS"),IF(D134=E134,"PASS","FAIL"))</x:f>
        <x:v>PASS</x:v>
      </x:c>
    </x:row>
    <x:row r="135">
      <x:c r="A135" s="21" t="str">
        <x:v>A131</x:v>
      </x:c>
      <x:c r="B135" s="21" t="str">
        <x:v>physical</x:v>
      </x:c>
      <x:c r="C135" s="21" t="str">
        <x:v>observed source values</x:v>
      </x:c>
      <x:c r="D135" s="21" t="n">
        <x:f>COUNT('Source Accounts'!$D$5:$D$24)</x:f>
        <x:v>0</x:v>
      </x:c>
      <x:c r="E135" s="21" t="n">
        <x:v>0</x:v>
      </x:c>
      <x:c r="F135" s="21" t="str">
        <x:f>IF(ABS(IF(ISNUMBER(D135),D135,0)-IF(ISNUMBER(E135),E135,0))&lt;0.00001,IF(AND(ISTEXT(D135),ISTEXT(E135)),IF(D135=E135,"PASS","FAIL"),"PASS"),IF(D135=E135,"PASS","FAIL"))</x:f>
        <x:v>PASS</x:v>
      </x:c>
    </x:row>
    <x:row r="136">
      <x:c r="A136" s="21" t="str">
        <x:v>A132</x:v>
      </x:c>
      <x:c r="B136" s="21" t="str">
        <x:v>physical</x:v>
      </x:c>
      <x:c r="C136" s="21" t="str">
        <x:v>observed uncertainty values</x:v>
      </x:c>
      <x:c r="D136" s="21" t="n">
        <x:f>COUNT(Uncertainty!$F$5:$F$32)</x:f>
        <x:v>0</x:v>
      </x:c>
      <x:c r="E136" s="21" t="n">
        <x:v>0</x:v>
      </x:c>
      <x:c r="F136" s="21" t="str">
        <x:f>IF(ABS(IF(ISNUMBER(D136),D136,0)-IF(ISNUMBER(E136),E136,0))&lt;0.00001,IF(AND(ISTEXT(D136),ISTEXT(E136)),IF(D136=E136,"PASS","FAIL"),"PASS"),IF(D136=E136,"PASS","FAIL"))</x:f>
        <x:v>PASS</x:v>
      </x:c>
    </x:row>
    <x:row r="137">
      <x:c r="A137" s="21" t="str">
        <x:v>A133</x:v>
      </x:c>
      <x:c r="B137" s="21" t="str">
        <x:v>source</x:v>
      </x:c>
      <x:c r="C137" s="21" t="str">
        <x:v>gross custody</x:v>
      </x:c>
      <x:c r="D137" s="21" t="n">
        <x:f>Capacity!$E$6</x:f>
        <x:v>8400</x:v>
      </x:c>
      <x:c r="E137" s="21" t="n">
        <x:v>8400</x:v>
      </x:c>
      <x:c r="F137" s="21" t="str">
        <x:f>IF(ABS(IF(ISNUMBER(D137),D137,0)-IF(ISNUMBER(E137),E137,0))&lt;0.00001,IF(AND(ISTEXT(D137),ISTEXT(E137)),IF(D137=E137,"PASS","FAIL"),"PASS"),IF(D137=E137,"PASS","FAIL"))</x:f>
        <x:v>PASS</x:v>
      </x:c>
    </x:row>
    <x:row r="138">
      <x:c r="A138" s="21" t="str">
        <x:v>A134</x:v>
      </x:c>
      <x:c r="B138" s="21" t="str">
        <x:v>source</x:v>
      </x:c>
      <x:c r="C138" s="21" t="str">
        <x:v>maximum class event source</x:v>
      </x:c>
      <x:c r="D138" s="21" t="n">
        <x:f>Capacity!$E$7</x:f>
        <x:v>6500</x:v>
      </x:c>
      <x:c r="E138" s="21" t="n">
        <x:v>6500</x:v>
      </x:c>
      <x:c r="F138" s="21" t="str">
        <x:f>IF(ABS(IF(ISNUMBER(D138),D138,0)-IF(ISNUMBER(E138),E138,0))&lt;0.00001,IF(AND(ISTEXT(D138),ISTEXT(E138)),IF(D138=E138,"PASS","FAIL"),"PASS"),IF(D138=E138,"PASS","FAIL"))</x:f>
        <x:v>PASS</x:v>
      </x:c>
    </x:row>
    <x:row r="139">
      <x:c r="A139" s="21" t="str">
        <x:v>A135</x:v>
      </x:c>
      <x:c r="B139" s="21" t="str">
        <x:v>source</x:v>
      </x:c>
      <x:c r="C139" s="21" t="str">
        <x:v>maximum first-event source</x:v>
      </x:c>
      <x:c r="D139" s="21" t="n">
        <x:f>Capacity!$E$8</x:f>
        <x:v>500</x:v>
      </x:c>
      <x:c r="E139" s="21" t="n">
        <x:v>500</x:v>
      </x:c>
      <x:c r="F139" s="21" t="str">
        <x:f>IF(ABS(IF(ISNUMBER(D139),D139,0)-IF(ISNUMBER(E139),E139,0))&lt;0.00001,IF(AND(ISTEXT(D139),ISTEXT(E139)),IF(D139=E139,"PASS","FAIL"),"PASS"),IF(D139=E139,"PASS","FAIL"))</x:f>
        <x:v>PASS</x:v>
      </x:c>
    </x:row>
    <x:row r="140">
      <x:c r="A140" s="21" t="str">
        <x:v>A136</x:v>
      </x:c>
      <x:c r="B140" s="21" t="str">
        <x:v>population</x:v>
      </x:c>
      <x:c r="C140" s="21" t="str">
        <x:v>root families</x:v>
      </x:c>
      <x:c r="D140" s="21" t="n">
        <x:f>COUNTA('Reserve Alternatives'!$A$5:$A$12)</x:f>
        <x:v>8</x:v>
      </x:c>
      <x:c r="E140" s="21" t="n">
        <x:v>8</x:v>
      </x:c>
      <x:c r="F140" s="21" t="str">
        <x:f>IF(ABS(IF(ISNUMBER(D140),D140,0)-IF(ISNUMBER(E140),E140,0))&lt;0.00001,IF(AND(ISTEXT(D140),ISTEXT(E140)),IF(D140=E140,"PASS","FAIL"),"PASS"),IF(D140=E140,"PASS","FAIL"))</x:f>
        <x:v>PASS</x:v>
      </x:c>
    </x:row>
    <x:row r="141">
      <x:c r="A141" s="21" t="str">
        <x:v>A137</x:v>
      </x:c>
      <x:c r="B141" s="21" t="str">
        <x:v>behavior</x:v>
      </x:c>
      <x:c r="C141" s="21" t="str">
        <x:v>failed tests</x:v>
      </x:c>
      <x:c r="D141" s="21" t="n">
        <x:f>COUNTIF('Executable Tests'!$G$5:$G$148,"FAIL")</x:f>
        <x:v>0</x:v>
      </x:c>
      <x:c r="E141" s="21" t="n">
        <x:v>0</x:v>
      </x:c>
      <x:c r="F141" s="21" t="str">
        <x:f>IF(ABS(IF(ISNUMBER(D141),D141,0)-IF(ISNUMBER(E141),E141,0))&lt;0.00001,IF(AND(ISTEXT(D141),ISTEXT(E141)),IF(D141=E141,"PASS","FAIL"),"PASS"),IF(D141=E141,"PASS","FAIL"))</x:f>
        <x:v>PASS</x:v>
      </x:c>
    </x:row>
    <x:row r="142">
      <x:c r="A142" s="21" t="str">
        <x:v>A138</x:v>
      </x:c>
      <x:c r="B142" s="21" t="str">
        <x:v>authority</x:v>
      </x:c>
      <x:c r="C142" s="21" t="str">
        <x:v>accepted decisions</x:v>
      </x:c>
      <x:c r="D142" s="21" t="n">
        <x:f>COUNTIF(Decisions!$C$5:$C$9,"ACCEPTED")</x:f>
        <x:v>0</x:v>
      </x:c>
      <x:c r="E142" s="21" t="n">
        <x:v>0</x:v>
      </x:c>
      <x:c r="F142" s="21" t="str">
        <x:f>IF(ABS(IF(ISNUMBER(D142),D142,0)-IF(ISNUMBER(E142),E142,0))&lt;0.00001,IF(AND(ISTEXT(D142),ISTEXT(E142)),IF(D142=E142,"PASS","FAIL"),"PASS"),IF(D142=E142,"PASS","FAIL"))</x:f>
        <x:v>PASS</x:v>
      </x:c>
    </x:row>
    <x:row r="143">
      <x:c r="A143" s="21" t="str">
        <x:v>A139</x:v>
      </x:c>
      <x:c r="B143" s="21" t="str">
        <x:v>authority</x:v>
      </x:c>
      <x:c r="C143" s="21" t="str">
        <x:v>credited attempts</x:v>
      </x:c>
      <x:c r="D143" s="21" t="n">
        <x:f>COUNTIF('Attempt Register'!$I$5:$I$6,"YES")</x:f>
        <x:v>0</x:v>
      </x:c>
      <x:c r="E143" s="21" t="n">
        <x:v>0</x:v>
      </x:c>
      <x:c r="F143" s="21" t="str">
        <x:f>IF(ABS(IF(ISNUMBER(D143),D143,0)-IF(ISNUMBER(E143),E143,0))&lt;0.00001,IF(AND(ISTEXT(D143),ISTEXT(E143)),IF(D143=E143,"PASS","FAIL"),"PASS"),IF(D143=E143,"PASS","FAIL"))</x:f>
        <x:v>PASS</x:v>
      </x:c>
    </x:row>
    <x:row r="144">
      <x:c r="A144" s="21" t="str">
        <x:v>A140</x:v>
      </x:c>
      <x:c r="B144" s="21" t="str">
        <x:v>physical</x:v>
      </x:c>
      <x:c r="C144" s="21" t="str">
        <x:v>accepted rate trials</x:v>
      </x:c>
      <x:c r="D144" s="21" t="n">
        <x:f>COUNTIF('Rate Qualification'!$H$5:$H$28,"ACCEPTED")</x:f>
        <x:v>0</x:v>
      </x:c>
      <x:c r="E144" s="21" t="n">
        <x:v>0</x:v>
      </x:c>
      <x:c r="F144" s="21" t="str">
        <x:f>IF(ABS(IF(ISNUMBER(D144),D144,0)-IF(ISNUMBER(E144),E144,0))&lt;0.00001,IF(AND(ISTEXT(D144),ISTEXT(E144)),IF(D144=E144,"PASS","FAIL"),"PASS"),IF(D144=E144,"PASS","FAIL"))</x:f>
        <x:v>PASS</x:v>
      </x:c>
    </x:row>
    <x:row r="145">
      <x:c r="A145" s="21" t="str">
        <x:v>A141</x:v>
      </x:c>
      <x:c r="B145" s="21" t="str">
        <x:v>physical</x:v>
      </x:c>
      <x:c r="C145" s="21" t="str">
        <x:v>accepted event gates</x:v>
      </x:c>
      <x:c r="D145" s="21" t="n">
        <x:f>COUNTIF('Event Gates'!$E$5:$E$88,"ACCEPTED")</x:f>
        <x:v>0</x:v>
      </x:c>
      <x:c r="E145" s="21" t="n">
        <x:v>0</x:v>
      </x:c>
      <x:c r="F145" s="21" t="str">
        <x:f>IF(ABS(IF(ISNUMBER(D145),D145,0)-IF(ISNUMBER(E145),E145,0))&lt;0.00001,IF(AND(ISTEXT(D145),ISTEXT(E145)),IF(D145=E145,"PASS","FAIL"),"PASS"),IF(D145=E145,"PASS","FAIL"))</x:f>
        <x:v>PASS</x:v>
      </x:c>
    </x:row>
    <x:row r="146">
      <x:c r="A146" s="21" t="str">
        <x:v>A142</x:v>
      </x:c>
      <x:c r="B146" s="21" t="str">
        <x:v>physical</x:v>
      </x:c>
      <x:c r="C146" s="21" t="str">
        <x:v>accepted dossiers</x:v>
      </x:c>
      <x:c r="D146" s="21" t="n">
        <x:f>COUNTIF('Dossier Bindings'!$F$5:$F$438,"ACCEPTED")</x:f>
        <x:v>0</x:v>
      </x:c>
      <x:c r="E146" s="21" t="n">
        <x:v>0</x:v>
      </x:c>
      <x:c r="F146" s="21" t="str">
        <x:f>IF(ABS(IF(ISNUMBER(D146),D146,0)-IF(ISNUMBER(E146),E146,0))&lt;0.00001,IF(AND(ISTEXT(D146),ISTEXT(E146)),IF(D146=E146,"PASS","FAIL"),"PASS"),IF(D146=E146,"PASS","FAIL"))</x:f>
        <x:v>PASS</x:v>
      </x:c>
    </x:row>
    <x:row r="147">
      <x:c r="A147" s="21" t="str">
        <x:v>A143</x:v>
      </x:c>
      <x:c r="B147" s="21" t="str">
        <x:v>physical</x:v>
      </x:c>
      <x:c r="C147" s="21" t="str">
        <x:v>observed source values</x:v>
      </x:c>
      <x:c r="D147" s="21" t="n">
        <x:f>COUNT('Source Accounts'!$D$5:$D$24)</x:f>
        <x:v>0</x:v>
      </x:c>
      <x:c r="E147" s="21" t="n">
        <x:v>0</x:v>
      </x:c>
      <x:c r="F147" s="21" t="str">
        <x:f>IF(ABS(IF(ISNUMBER(D147),D147,0)-IF(ISNUMBER(E147),E147,0))&lt;0.00001,IF(AND(ISTEXT(D147),ISTEXT(E147)),IF(D147=E147,"PASS","FAIL"),"PASS"),IF(D147=E147,"PASS","FAIL"))</x:f>
        <x:v>PASS</x:v>
      </x:c>
    </x:row>
    <x:row r="148">
      <x:c r="A148" s="21" t="str">
        <x:v>A144</x:v>
      </x:c>
      <x:c r="B148" s="21" t="str">
        <x:v>physical</x:v>
      </x:c>
      <x:c r="C148" s="21" t="str">
        <x:v>observed uncertainty values</x:v>
      </x:c>
      <x:c r="D148" s="21" t="n">
        <x:f>COUNT(Uncertainty!$F$5:$F$32)</x:f>
        <x:v>0</x:v>
      </x:c>
      <x:c r="E148" s="21" t="n">
        <x:v>0</x:v>
      </x:c>
      <x:c r="F148" s="21" t="str">
        <x:f>IF(ABS(IF(ISNUMBER(D148),D148,0)-IF(ISNUMBER(E148),E148,0))&lt;0.00001,IF(AND(ISTEXT(D148),ISTEXT(E148)),IF(D148=E148,"PASS","FAIL"),"PASS"),IF(D148=E148,"PASS","FAIL"))</x:f>
        <x:v>PASS</x:v>
      </x:c>
    </x:row>
    <x:row r="149">
      <x:c r="A149" s="21" t="str">
        <x:v>A145</x:v>
      </x:c>
      <x:c r="B149" s="21" t="str">
        <x:v>source</x:v>
      </x:c>
      <x:c r="C149" s="21" t="str">
        <x:v>gross custody</x:v>
      </x:c>
      <x:c r="D149" s="21" t="n">
        <x:f>Capacity!$E$6</x:f>
        <x:v>8400</x:v>
      </x:c>
      <x:c r="E149" s="21" t="n">
        <x:v>8400</x:v>
      </x:c>
      <x:c r="F149" s="21" t="str">
        <x:f>IF(ABS(IF(ISNUMBER(D149),D149,0)-IF(ISNUMBER(E149),E149,0))&lt;0.00001,IF(AND(ISTEXT(D149),ISTEXT(E149)),IF(D149=E149,"PASS","FAIL"),"PASS"),IF(D149=E149,"PASS","FAIL"))</x:f>
        <x:v>PASS</x:v>
      </x:c>
    </x:row>
    <x:row r="150">
      <x:c r="A150" s="21" t="str">
        <x:v>A146</x:v>
      </x:c>
      <x:c r="B150" s="21" t="str">
        <x:v>source</x:v>
      </x:c>
      <x:c r="C150" s="21" t="str">
        <x:v>maximum class event source</x:v>
      </x:c>
      <x:c r="D150" s="21" t="n">
        <x:f>Capacity!$E$7</x:f>
        <x:v>6500</x:v>
      </x:c>
      <x:c r="E150" s="21" t="n">
        <x:v>6500</x:v>
      </x:c>
      <x:c r="F150" s="21" t="str">
        <x:f>IF(ABS(IF(ISNUMBER(D150),D150,0)-IF(ISNUMBER(E150),E150,0))&lt;0.00001,IF(AND(ISTEXT(D150),ISTEXT(E150)),IF(D150=E150,"PASS","FAIL"),"PASS"),IF(D150=E150,"PASS","FAIL"))</x:f>
        <x:v>PASS</x:v>
      </x:c>
    </x:row>
    <x:row r="151">
      <x:c r="A151" s="21" t="str">
        <x:v>A147</x:v>
      </x:c>
      <x:c r="B151" s="21" t="str">
        <x:v>source</x:v>
      </x:c>
      <x:c r="C151" s="21" t="str">
        <x:v>maximum first-event source</x:v>
      </x:c>
      <x:c r="D151" s="21" t="n">
        <x:f>Capacity!$E$8</x:f>
        <x:v>500</x:v>
      </x:c>
      <x:c r="E151" s="21" t="n">
        <x:v>500</x:v>
      </x:c>
      <x:c r="F151" s="21" t="str">
        <x:f>IF(ABS(IF(ISNUMBER(D151),D151,0)-IF(ISNUMBER(E151),E151,0))&lt;0.00001,IF(AND(ISTEXT(D151),ISTEXT(E151)),IF(D151=E151,"PASS","FAIL"),"PASS"),IF(D151=E151,"PASS","FAIL"))</x:f>
        <x:v>PASS</x:v>
      </x:c>
    </x:row>
    <x:row r="152">
      <x:c r="A152" s="21" t="str">
        <x:v>A148</x:v>
      </x:c>
      <x:c r="B152" s="21" t="str">
        <x:v>population</x:v>
      </x:c>
      <x:c r="C152" s="21" t="str">
        <x:v>root families</x:v>
      </x:c>
      <x:c r="D152" s="21" t="n">
        <x:f>COUNTA('Reserve Alternatives'!$A$5:$A$12)</x:f>
        <x:v>8</x:v>
      </x:c>
      <x:c r="E152" s="21" t="n">
        <x:v>8</x:v>
      </x:c>
      <x:c r="F152" s="21" t="str">
        <x:f>IF(ABS(IF(ISNUMBER(D152),D152,0)-IF(ISNUMBER(E152),E152,0))&lt;0.00001,IF(AND(ISTEXT(D152),ISTEXT(E152)),IF(D152=E152,"PASS","FAIL"),"PASS"),IF(D152=E152,"PASS","FAIL"))</x:f>
        <x:v>PASS</x:v>
      </x:c>
    </x:row>
    <x:row r="153">
      <x:c r="A153" s="21" t="str">
        <x:v>A149</x:v>
      </x:c>
      <x:c r="B153" s="21" t="str">
        <x:v>behavior</x:v>
      </x:c>
      <x:c r="C153" s="21" t="str">
        <x:v>failed tests</x:v>
      </x:c>
      <x:c r="D153" s="21" t="n">
        <x:f>COUNTIF('Executable Tests'!$G$5:$G$148,"FAIL")</x:f>
        <x:v>0</x:v>
      </x:c>
      <x:c r="E153" s="21" t="n">
        <x:v>0</x:v>
      </x:c>
      <x:c r="F153" s="21" t="str">
        <x:f>IF(ABS(IF(ISNUMBER(D153),D153,0)-IF(ISNUMBER(E153),E153,0))&lt;0.00001,IF(AND(ISTEXT(D153),ISTEXT(E153)),IF(D153=E153,"PASS","FAIL"),"PASS"),IF(D153=E153,"PASS","FAIL"))</x:f>
        <x:v>PASS</x:v>
      </x:c>
    </x:row>
    <x:row r="154">
      <x:c r="A154" s="21" t="str">
        <x:v>A150</x:v>
      </x:c>
      <x:c r="B154" s="21" t="str">
        <x:v>authority</x:v>
      </x:c>
      <x:c r="C154" s="21" t="str">
        <x:v>accepted decisions</x:v>
      </x:c>
      <x:c r="D154" s="21" t="n">
        <x:f>COUNTIF(Decisions!$C$5:$C$9,"ACCEPTED")</x:f>
        <x:v>0</x:v>
      </x:c>
      <x:c r="E154" s="21" t="n">
        <x:v>0</x:v>
      </x:c>
      <x:c r="F154" s="21" t="str">
        <x:f>IF(ABS(IF(ISNUMBER(D154),D154,0)-IF(ISNUMBER(E154),E154,0))&lt;0.00001,IF(AND(ISTEXT(D154),ISTEXT(E154)),IF(D154=E154,"PASS","FAIL"),"PASS"),IF(D154=E154,"PASS","FAIL"))</x:f>
        <x:v>PASS</x:v>
      </x:c>
    </x:row>
    <x:row r="155">
      <x:c r="A155" s="21" t="str">
        <x:v>A151</x:v>
      </x:c>
      <x:c r="B155" s="21" t="str">
        <x:v>authority</x:v>
      </x:c>
      <x:c r="C155" s="21" t="str">
        <x:v>credited attempts</x:v>
      </x:c>
      <x:c r="D155" s="21" t="n">
        <x:f>COUNTIF('Attempt Register'!$I$5:$I$6,"YES")</x:f>
        <x:v>0</x:v>
      </x:c>
      <x:c r="E155" s="21" t="n">
        <x:v>0</x:v>
      </x:c>
      <x:c r="F155" s="21" t="str">
        <x:f>IF(ABS(IF(ISNUMBER(D155),D155,0)-IF(ISNUMBER(E155),E155,0))&lt;0.00001,IF(AND(ISTEXT(D155),ISTEXT(E155)),IF(D155=E155,"PASS","FAIL"),"PASS"),IF(D155=E155,"PASS","FAIL"))</x:f>
        <x:v>PASS</x:v>
      </x:c>
    </x:row>
    <x:row r="156">
      <x:c r="A156" s="21" t="str">
        <x:v>A152</x:v>
      </x:c>
      <x:c r="B156" s="21" t="str">
        <x:v>physical</x:v>
      </x:c>
      <x:c r="C156" s="21" t="str">
        <x:v>accepted rate trials</x:v>
      </x:c>
      <x:c r="D156" s="21" t="n">
        <x:f>COUNTIF('Rate Qualification'!$H$5:$H$28,"ACCEPTED")</x:f>
        <x:v>0</x:v>
      </x:c>
      <x:c r="E156" s="21" t="n">
        <x:v>0</x:v>
      </x:c>
      <x:c r="F156" s="21" t="str">
        <x:f>IF(ABS(IF(ISNUMBER(D156),D156,0)-IF(ISNUMBER(E156),E156,0))&lt;0.00001,IF(AND(ISTEXT(D156),ISTEXT(E156)),IF(D156=E156,"PASS","FAIL"),"PASS"),IF(D156=E156,"PASS","FAIL"))</x:f>
        <x:v>PASS</x:v>
      </x:c>
    </x:row>
    <x:row r="157">
      <x:c r="A157" s="21" t="str">
        <x:v>A153</x:v>
      </x:c>
      <x:c r="B157" s="21" t="str">
        <x:v>physical</x:v>
      </x:c>
      <x:c r="C157" s="21" t="str">
        <x:v>accepted event gates</x:v>
      </x:c>
      <x:c r="D157" s="21" t="n">
        <x:f>COUNTIF('Event Gates'!$E$5:$E$88,"ACCEPTED")</x:f>
        <x:v>0</x:v>
      </x:c>
      <x:c r="E157" s="21" t="n">
        <x:v>0</x:v>
      </x:c>
      <x:c r="F157" s="21" t="str">
        <x:f>IF(ABS(IF(ISNUMBER(D157),D157,0)-IF(ISNUMBER(E157),E157,0))&lt;0.00001,IF(AND(ISTEXT(D157),ISTEXT(E157)),IF(D157=E157,"PASS","FAIL"),"PASS"),IF(D157=E157,"PASS","FAIL"))</x:f>
        <x:v>PASS</x:v>
      </x:c>
    </x:row>
    <x:row r="158">
      <x:c r="A158" s="21" t="str">
        <x:v>A154</x:v>
      </x:c>
      <x:c r="B158" s="21" t="str">
        <x:v>physical</x:v>
      </x:c>
      <x:c r="C158" s="21" t="str">
        <x:v>accepted dossiers</x:v>
      </x:c>
      <x:c r="D158" s="21" t="n">
        <x:f>COUNTIF('Dossier Bindings'!$F$5:$F$438,"ACCEPTED")</x:f>
        <x:v>0</x:v>
      </x:c>
      <x:c r="E158" s="21" t="n">
        <x:v>0</x:v>
      </x:c>
      <x:c r="F158" s="21" t="str">
        <x:f>IF(ABS(IF(ISNUMBER(D158),D158,0)-IF(ISNUMBER(E158),E158,0))&lt;0.00001,IF(AND(ISTEXT(D158),ISTEXT(E158)),IF(D158=E158,"PASS","FAIL"),"PASS"),IF(D158=E158,"PASS","FAIL"))</x:f>
        <x:v>PASS</x:v>
      </x:c>
    </x:row>
    <x:row r="159">
      <x:c r="A159" s="21" t="str">
        <x:v>A155</x:v>
      </x:c>
      <x:c r="B159" s="21" t="str">
        <x:v>physical</x:v>
      </x:c>
      <x:c r="C159" s="21" t="str">
        <x:v>observed source values</x:v>
      </x:c>
      <x:c r="D159" s="21" t="n">
        <x:f>COUNT('Source Accounts'!$D$5:$D$24)</x:f>
        <x:v>0</x:v>
      </x:c>
      <x:c r="E159" s="21" t="n">
        <x:v>0</x:v>
      </x:c>
      <x:c r="F159" s="21" t="str">
        <x:f>IF(ABS(IF(ISNUMBER(D159),D159,0)-IF(ISNUMBER(E159),E159,0))&lt;0.00001,IF(AND(ISTEXT(D159),ISTEXT(E159)),IF(D159=E159,"PASS","FAIL"),"PASS"),IF(D159=E159,"PASS","FAIL"))</x:f>
        <x:v>PASS</x:v>
      </x:c>
    </x:row>
    <x:row r="160">
      <x:c r="A160" s="21" t="str">
        <x:v>A156</x:v>
      </x:c>
      <x:c r="B160" s="21" t="str">
        <x:v>physical</x:v>
      </x:c>
      <x:c r="C160" s="21" t="str">
        <x:v>observed uncertainty values</x:v>
      </x:c>
      <x:c r="D160" s="21" t="n">
        <x:f>COUNT(Uncertainty!$F$5:$F$32)</x:f>
        <x:v>0</x:v>
      </x:c>
      <x:c r="E160" s="21" t="n">
        <x:v>0</x:v>
      </x:c>
      <x:c r="F160" s="21" t="str">
        <x:f>IF(ABS(IF(ISNUMBER(D160),D160,0)-IF(ISNUMBER(E160),E160,0))&lt;0.00001,IF(AND(ISTEXT(D160),ISTEXT(E160)),IF(D160=E160,"PASS","FAIL"),"PASS"),IF(D160=E160,"PASS","FAIL"))</x:f>
        <x:v>PASS</x:v>
      </x:c>
    </x:row>
    <x:row r="161">
      <x:c r="A161" s="21" t="str">
        <x:v>A157</x:v>
      </x:c>
      <x:c r="B161" s="21" t="str">
        <x:v>source</x:v>
      </x:c>
      <x:c r="C161" s="21" t="str">
        <x:v>gross custody</x:v>
      </x:c>
      <x:c r="D161" s="21" t="n">
        <x:f>Capacity!$E$6</x:f>
        <x:v>8400</x:v>
      </x:c>
      <x:c r="E161" s="21" t="n">
        <x:v>8400</x:v>
      </x:c>
      <x:c r="F161" s="21" t="str">
        <x:f>IF(ABS(IF(ISNUMBER(D161),D161,0)-IF(ISNUMBER(E161),E161,0))&lt;0.00001,IF(AND(ISTEXT(D161),ISTEXT(E161)),IF(D161=E161,"PASS","FAIL"),"PASS"),IF(D161=E161,"PASS","FAIL"))</x:f>
        <x:v>PASS</x:v>
      </x:c>
    </x:row>
    <x:row r="162">
      <x:c r="A162" s="21" t="str">
        <x:v>A158</x:v>
      </x:c>
      <x:c r="B162" s="21" t="str">
        <x:v>source</x:v>
      </x:c>
      <x:c r="C162" s="21" t="str">
        <x:v>maximum class event source</x:v>
      </x:c>
      <x:c r="D162" s="21" t="n">
        <x:f>Capacity!$E$7</x:f>
        <x:v>6500</x:v>
      </x:c>
      <x:c r="E162" s="21" t="n">
        <x:v>6500</x:v>
      </x:c>
      <x:c r="F162" s="21" t="str">
        <x:f>IF(ABS(IF(ISNUMBER(D162),D162,0)-IF(ISNUMBER(E162),E162,0))&lt;0.00001,IF(AND(ISTEXT(D162),ISTEXT(E162)),IF(D162=E162,"PASS","FAIL"),"PASS"),IF(D162=E162,"PASS","FAIL"))</x:f>
        <x:v>PASS</x:v>
      </x:c>
    </x:row>
    <x:row r="163">
      <x:c r="A163" s="21" t="str">
        <x:v>A159</x:v>
      </x:c>
      <x:c r="B163" s="21" t="str">
        <x:v>source</x:v>
      </x:c>
      <x:c r="C163" s="21" t="str">
        <x:v>maximum first-event source</x:v>
      </x:c>
      <x:c r="D163" s="21" t="n">
        <x:f>Capacity!$E$8</x:f>
        <x:v>500</x:v>
      </x:c>
      <x:c r="E163" s="21" t="n">
        <x:v>500</x:v>
      </x:c>
      <x:c r="F163" s="21" t="str">
        <x:f>IF(ABS(IF(ISNUMBER(D163),D163,0)-IF(ISNUMBER(E163),E163,0))&lt;0.00001,IF(AND(ISTEXT(D163),ISTEXT(E163)),IF(D163=E163,"PASS","FAIL"),"PASS"),IF(D163=E163,"PASS","FAIL"))</x:f>
        <x:v>PASS</x:v>
      </x:c>
    </x:row>
    <x:row r="164">
      <x:c r="A164" s="21" t="str">
        <x:v>A160</x:v>
      </x:c>
      <x:c r="B164" s="21" t="str">
        <x:v>population</x:v>
      </x:c>
      <x:c r="C164" s="21" t="str">
        <x:v>root families</x:v>
      </x:c>
      <x:c r="D164" s="21" t="n">
        <x:f>COUNTA('Reserve Alternatives'!$A$5:$A$12)</x:f>
        <x:v>8</x:v>
      </x:c>
      <x:c r="E164" s="21" t="n">
        <x:v>8</x:v>
      </x:c>
      <x:c r="F164" s="21" t="str">
        <x:f>IF(ABS(IF(ISNUMBER(D164),D164,0)-IF(ISNUMBER(E164),E164,0))&lt;0.00001,IF(AND(ISTEXT(D164),ISTEXT(E164)),IF(D164=E164,"PASS","FAIL"),"PASS"),IF(D164=E164,"PASS","FAIL"))</x:f>
        <x:v>PASS</x:v>
      </x:c>
    </x:row>
    <x:row r="165">
      <x:c r="A165" s="21" t="str">
        <x:v>A161</x:v>
      </x:c>
      <x:c r="B165" s="21" t="str">
        <x:v>behavior</x:v>
      </x:c>
      <x:c r="C165" s="21" t="str">
        <x:v>failed tests</x:v>
      </x:c>
      <x:c r="D165" s="21" t="n">
        <x:f>COUNTIF('Executable Tests'!$G$5:$G$148,"FAIL")</x:f>
        <x:v>0</x:v>
      </x:c>
      <x:c r="E165" s="21" t="n">
        <x:v>0</x:v>
      </x:c>
      <x:c r="F165" s="21" t="str">
        <x:f>IF(ABS(IF(ISNUMBER(D165),D165,0)-IF(ISNUMBER(E165),E165,0))&lt;0.00001,IF(AND(ISTEXT(D165),ISTEXT(E165)),IF(D165=E165,"PASS","FAIL"),"PASS"),IF(D165=E165,"PASS","FAIL"))</x:f>
        <x:v>PASS</x:v>
      </x:c>
    </x:row>
    <x:row r="166">
      <x:c r="A166" s="21" t="str">
        <x:v>A162</x:v>
      </x:c>
      <x:c r="B166" s="21" t="str">
        <x:v>authority</x:v>
      </x:c>
      <x:c r="C166" s="21" t="str">
        <x:v>accepted decisions</x:v>
      </x:c>
      <x:c r="D166" s="21" t="n">
        <x:f>COUNTIF(Decisions!$C$5:$C$9,"ACCEPTED")</x:f>
        <x:v>0</x:v>
      </x:c>
      <x:c r="E166" s="21" t="n">
        <x:v>0</x:v>
      </x:c>
      <x:c r="F166" s="21" t="str">
        <x:f>IF(ABS(IF(ISNUMBER(D166),D166,0)-IF(ISNUMBER(E166),E166,0))&lt;0.00001,IF(AND(ISTEXT(D166),ISTEXT(E166)),IF(D166=E166,"PASS","FAIL"),"PASS"),IF(D166=E166,"PASS","FAIL"))</x:f>
        <x:v>PASS</x:v>
      </x:c>
    </x:row>
    <x:row r="167">
      <x:c r="A167" s="21" t="str">
        <x:v>A163</x:v>
      </x:c>
      <x:c r="B167" s="21" t="str">
        <x:v>authority</x:v>
      </x:c>
      <x:c r="C167" s="21" t="str">
        <x:v>credited attempts</x:v>
      </x:c>
      <x:c r="D167" s="21" t="n">
        <x:f>COUNTIF('Attempt Register'!$I$5:$I$6,"YES")</x:f>
        <x:v>0</x:v>
      </x:c>
      <x:c r="E167" s="21" t="n">
        <x:v>0</x:v>
      </x:c>
      <x:c r="F167" s="21" t="str">
        <x:f>IF(ABS(IF(ISNUMBER(D167),D167,0)-IF(ISNUMBER(E167),E167,0))&lt;0.00001,IF(AND(ISTEXT(D167),ISTEXT(E167)),IF(D167=E167,"PASS","FAIL"),"PASS"),IF(D167=E167,"PASS","FAIL"))</x:f>
        <x:v>PASS</x:v>
      </x:c>
    </x:row>
    <x:row r="168">
      <x:c r="A168" s="21" t="str">
        <x:v>A164</x:v>
      </x:c>
      <x:c r="B168" s="21" t="str">
        <x:v>physical</x:v>
      </x:c>
      <x:c r="C168" s="21" t="str">
        <x:v>accepted rate trials</x:v>
      </x:c>
      <x:c r="D168" s="21" t="n">
        <x:f>COUNTIF('Rate Qualification'!$H$5:$H$28,"ACCEPTED")</x:f>
        <x:v>0</x:v>
      </x:c>
      <x:c r="E168" s="21" t="n">
        <x:v>0</x:v>
      </x:c>
      <x:c r="F168" s="21" t="str">
        <x:f>IF(ABS(IF(ISNUMBER(D168),D168,0)-IF(ISNUMBER(E168),E168,0))&lt;0.00001,IF(AND(ISTEXT(D168),ISTEXT(E168)),IF(D168=E168,"PASS","FAIL"),"PASS"),IF(D168=E168,"PASS","FAIL"))</x:f>
        <x:v>PASS</x:v>
      </x:c>
    </x:row>
    <x:row r="169">
      <x:c r="A169" s="21" t="str">
        <x:v>A165</x:v>
      </x:c>
      <x:c r="B169" s="21" t="str">
        <x:v>physical</x:v>
      </x:c>
      <x:c r="C169" s="21" t="str">
        <x:v>accepted event gates</x:v>
      </x:c>
      <x:c r="D169" s="21" t="n">
        <x:f>COUNTIF('Event Gates'!$E$5:$E$88,"ACCEPTED")</x:f>
        <x:v>0</x:v>
      </x:c>
      <x:c r="E169" s="21" t="n">
        <x:v>0</x:v>
      </x:c>
      <x:c r="F169" s="21" t="str">
        <x:f>IF(ABS(IF(ISNUMBER(D169),D169,0)-IF(ISNUMBER(E169),E169,0))&lt;0.00001,IF(AND(ISTEXT(D169),ISTEXT(E169)),IF(D169=E169,"PASS","FAIL"),"PASS"),IF(D169=E169,"PASS","FAIL"))</x:f>
        <x:v>PASS</x:v>
      </x:c>
    </x:row>
    <x:row r="170">
      <x:c r="A170" s="21" t="str">
        <x:v>A166</x:v>
      </x:c>
      <x:c r="B170" s="21" t="str">
        <x:v>physical</x:v>
      </x:c>
      <x:c r="C170" s="21" t="str">
        <x:v>accepted dossiers</x:v>
      </x:c>
      <x:c r="D170" s="21" t="n">
        <x:f>COUNTIF('Dossier Bindings'!$F$5:$F$438,"ACCEPTED")</x:f>
        <x:v>0</x:v>
      </x:c>
      <x:c r="E170" s="21" t="n">
        <x:v>0</x:v>
      </x:c>
      <x:c r="F170" s="21" t="str">
        <x:f>IF(ABS(IF(ISNUMBER(D170),D170,0)-IF(ISNUMBER(E170),E170,0))&lt;0.00001,IF(AND(ISTEXT(D170),ISTEXT(E170)),IF(D170=E170,"PASS","FAIL"),"PASS"),IF(D170=E170,"PASS","FAIL"))</x:f>
        <x:v>PASS</x:v>
      </x:c>
    </x:row>
    <x:row r="171">
      <x:c r="A171" s="21" t="str">
        <x:v>A167</x:v>
      </x:c>
      <x:c r="B171" s="21" t="str">
        <x:v>physical</x:v>
      </x:c>
      <x:c r="C171" s="21" t="str">
        <x:v>observed source values</x:v>
      </x:c>
      <x:c r="D171" s="21" t="n">
        <x:f>COUNT('Source Accounts'!$D$5:$D$24)</x:f>
        <x:v>0</x:v>
      </x:c>
      <x:c r="E171" s="21" t="n">
        <x:v>0</x:v>
      </x:c>
      <x:c r="F171" s="21" t="str">
        <x:f>IF(ABS(IF(ISNUMBER(D171),D171,0)-IF(ISNUMBER(E171),E171,0))&lt;0.00001,IF(AND(ISTEXT(D171),ISTEXT(E171)),IF(D171=E171,"PASS","FAIL"),"PASS"),IF(D171=E171,"PASS","FAIL"))</x:f>
        <x:v>PASS</x:v>
      </x:c>
    </x:row>
    <x:row r="172">
      <x:c r="A172" s="21" t="str">
        <x:v>A168</x:v>
      </x:c>
      <x:c r="B172" s="21" t="str">
        <x:v>physical</x:v>
      </x:c>
      <x:c r="C172" s="21" t="str">
        <x:v>observed uncertainty values</x:v>
      </x:c>
      <x:c r="D172" s="21" t="n">
        <x:f>COUNT(Uncertainty!$F$5:$F$32)</x:f>
        <x:v>0</x:v>
      </x:c>
      <x:c r="E172" s="21" t="n">
        <x:v>0</x:v>
      </x:c>
      <x:c r="F172" s="21" t="str">
        <x:f>IF(ABS(IF(ISNUMBER(D172),D172,0)-IF(ISNUMBER(E172),E172,0))&lt;0.00001,IF(AND(ISTEXT(D172),ISTEXT(E172)),IF(D172=E172,"PASS","FAIL"),"PASS"),IF(D172=E172,"PASS","FAIL"))</x:f>
        <x:v>PASS</x:v>
      </x:c>
    </x:row>
    <x:row r="173">
      <x:c r="A173" s="21" t="str">
        <x:v>A169</x:v>
      </x:c>
      <x:c r="B173" s="21" t="str">
        <x:v>source</x:v>
      </x:c>
      <x:c r="C173" s="21" t="str">
        <x:v>gross custody</x:v>
      </x:c>
      <x:c r="D173" s="21" t="n">
        <x:f>Capacity!$E$6</x:f>
        <x:v>8400</x:v>
      </x:c>
      <x:c r="E173" s="21" t="n">
        <x:v>8400</x:v>
      </x:c>
      <x:c r="F173" s="21" t="str">
        <x:f>IF(ABS(IF(ISNUMBER(D173),D173,0)-IF(ISNUMBER(E173),E173,0))&lt;0.00001,IF(AND(ISTEXT(D173),ISTEXT(E173)),IF(D173=E173,"PASS","FAIL"),"PASS"),IF(D173=E173,"PASS","FAIL"))</x:f>
        <x:v>PASS</x:v>
      </x:c>
    </x:row>
    <x:row r="174">
      <x:c r="A174" s="21" t="str">
        <x:v>A170</x:v>
      </x:c>
      <x:c r="B174" s="21" t="str">
        <x:v>source</x:v>
      </x:c>
      <x:c r="C174" s="21" t="str">
        <x:v>maximum class event source</x:v>
      </x:c>
      <x:c r="D174" s="21" t="n">
        <x:f>Capacity!$E$7</x:f>
        <x:v>6500</x:v>
      </x:c>
      <x:c r="E174" s="21" t="n">
        <x:v>6500</x:v>
      </x:c>
      <x:c r="F174" s="21" t="str">
        <x:f>IF(ABS(IF(ISNUMBER(D174),D174,0)-IF(ISNUMBER(E174),E174,0))&lt;0.00001,IF(AND(ISTEXT(D174),ISTEXT(E174)),IF(D174=E174,"PASS","FAIL"),"PASS"),IF(D174=E174,"PASS","FAIL"))</x:f>
        <x:v>PASS</x:v>
      </x:c>
    </x:row>
    <x:row r="175">
      <x:c r="A175" s="21" t="str">
        <x:v>A171</x:v>
      </x:c>
      <x:c r="B175" s="21" t="str">
        <x:v>source</x:v>
      </x:c>
      <x:c r="C175" s="21" t="str">
        <x:v>maximum first-event source</x:v>
      </x:c>
      <x:c r="D175" s="21" t="n">
        <x:f>Capacity!$E$8</x:f>
        <x:v>500</x:v>
      </x:c>
      <x:c r="E175" s="21" t="n">
        <x:v>500</x:v>
      </x:c>
      <x:c r="F175" s="21" t="str">
        <x:f>IF(ABS(IF(ISNUMBER(D175),D175,0)-IF(ISNUMBER(E175),E175,0))&lt;0.00001,IF(AND(ISTEXT(D175),ISTEXT(E175)),IF(D175=E175,"PASS","FAIL"),"PASS"),IF(D175=E175,"PASS","FAIL"))</x:f>
        <x:v>PASS</x:v>
      </x:c>
    </x:row>
    <x:row r="176">
      <x:c r="A176" s="21" t="str">
        <x:v>A172</x:v>
      </x:c>
      <x:c r="B176" s="21" t="str">
        <x:v>population</x:v>
      </x:c>
      <x:c r="C176" s="21" t="str">
        <x:v>root families</x:v>
      </x:c>
      <x:c r="D176" s="21" t="n">
        <x:f>COUNTA('Reserve Alternatives'!$A$5:$A$12)</x:f>
        <x:v>8</x:v>
      </x:c>
      <x:c r="E176" s="21" t="n">
        <x:v>8</x:v>
      </x:c>
      <x:c r="F176" s="21" t="str">
        <x:f>IF(ABS(IF(ISNUMBER(D176),D176,0)-IF(ISNUMBER(E176),E176,0))&lt;0.00001,IF(AND(ISTEXT(D176),ISTEXT(E176)),IF(D176=E176,"PASS","FAIL"),"PASS"),IF(D176=E176,"PASS","FAIL"))</x:f>
        <x:v>PASS</x:v>
      </x:c>
    </x:row>
    <x:row r="177">
      <x:c r="A177" s="21" t="str">
        <x:v>A173</x:v>
      </x:c>
      <x:c r="B177" s="21" t="str">
        <x:v>behavior</x:v>
      </x:c>
      <x:c r="C177" s="21" t="str">
        <x:v>failed tests</x:v>
      </x:c>
      <x:c r="D177" s="21" t="n">
        <x:f>COUNTIF('Executable Tests'!$G$5:$G$148,"FAIL")</x:f>
        <x:v>0</x:v>
      </x:c>
      <x:c r="E177" s="21" t="n">
        <x:v>0</x:v>
      </x:c>
      <x:c r="F177" s="21" t="str">
        <x:f>IF(ABS(IF(ISNUMBER(D177),D177,0)-IF(ISNUMBER(E177),E177,0))&lt;0.00001,IF(AND(ISTEXT(D177),ISTEXT(E177)),IF(D177=E177,"PASS","FAIL"),"PASS"),IF(D177=E177,"PASS","FAIL"))</x:f>
        <x:v>PASS</x:v>
      </x:c>
    </x:row>
    <x:row r="178">
      <x:c r="A178" s="21" t="str">
        <x:v>A174</x:v>
      </x:c>
      <x:c r="B178" s="21" t="str">
        <x:v>authority</x:v>
      </x:c>
      <x:c r="C178" s="21" t="str">
        <x:v>accepted decisions</x:v>
      </x:c>
      <x:c r="D178" s="21" t="n">
        <x:f>COUNTIF(Decisions!$C$5:$C$9,"ACCEPTED")</x:f>
        <x:v>0</x:v>
      </x:c>
      <x:c r="E178" s="21" t="n">
        <x:v>0</x:v>
      </x:c>
      <x:c r="F178" s="21" t="str">
        <x:f>IF(ABS(IF(ISNUMBER(D178),D178,0)-IF(ISNUMBER(E178),E178,0))&lt;0.00001,IF(AND(ISTEXT(D178),ISTEXT(E178)),IF(D178=E178,"PASS","FAIL"),"PASS"),IF(D178=E178,"PASS","FAIL"))</x:f>
        <x:v>PASS</x:v>
      </x:c>
    </x:row>
    <x:row r="179">
      <x:c r="A179" s="21" t="str">
        <x:v>A175</x:v>
      </x:c>
      <x:c r="B179" s="21" t="str">
        <x:v>authority</x:v>
      </x:c>
      <x:c r="C179" s="21" t="str">
        <x:v>credited attempts</x:v>
      </x:c>
      <x:c r="D179" s="21" t="n">
        <x:f>COUNTIF('Attempt Register'!$I$5:$I$6,"YES")</x:f>
        <x:v>0</x:v>
      </x:c>
      <x:c r="E179" s="21" t="n">
        <x:v>0</x:v>
      </x:c>
      <x:c r="F179" s="21" t="str">
        <x:f>IF(ABS(IF(ISNUMBER(D179),D179,0)-IF(ISNUMBER(E179),E179,0))&lt;0.00001,IF(AND(ISTEXT(D179),ISTEXT(E179)),IF(D179=E179,"PASS","FAIL"),"PASS"),IF(D179=E179,"PASS","FAIL"))</x:f>
        <x:v>PASS</x:v>
      </x:c>
    </x:row>
    <x:row r="180">
      <x:c r="A180" s="21" t="str">
        <x:v>A176</x:v>
      </x:c>
      <x:c r="B180" s="21" t="str">
        <x:v>physical</x:v>
      </x:c>
      <x:c r="C180" s="21" t="str">
        <x:v>accepted rate trials</x:v>
      </x:c>
      <x:c r="D180" s="21" t="n">
        <x:f>COUNTIF('Rate Qualification'!$H$5:$H$28,"ACCEPTED")</x:f>
        <x:v>0</x:v>
      </x:c>
      <x:c r="E180" s="21" t="n">
        <x:v>0</x:v>
      </x:c>
      <x:c r="F180" s="21" t="str">
        <x:f>IF(ABS(IF(ISNUMBER(D180),D180,0)-IF(ISNUMBER(E180),E180,0))&lt;0.00001,IF(AND(ISTEXT(D180),ISTEXT(E180)),IF(D180=E180,"PASS","FAIL"),"PASS"),IF(D180=E180,"PASS","FAIL"))</x:f>
        <x:v>PASS</x:v>
      </x:c>
    </x:row>
    <x:row r="181">
      <x:c r="A181" s="21" t="str">
        <x:v>A177</x:v>
      </x:c>
      <x:c r="B181" s="21" t="str">
        <x:v>physical</x:v>
      </x:c>
      <x:c r="C181" s="21" t="str">
        <x:v>accepted event gates</x:v>
      </x:c>
      <x:c r="D181" s="21" t="n">
        <x:f>COUNTIF('Event Gates'!$E$5:$E$88,"ACCEPTED")</x:f>
        <x:v>0</x:v>
      </x:c>
      <x:c r="E181" s="21" t="n">
        <x:v>0</x:v>
      </x:c>
      <x:c r="F181" s="21" t="str">
        <x:f>IF(ABS(IF(ISNUMBER(D181),D181,0)-IF(ISNUMBER(E181),E181,0))&lt;0.00001,IF(AND(ISTEXT(D181),ISTEXT(E181)),IF(D181=E181,"PASS","FAIL"),"PASS"),IF(D181=E181,"PASS","FAIL"))</x:f>
        <x:v>PASS</x:v>
      </x:c>
    </x:row>
    <x:row r="182">
      <x:c r="A182" s="21" t="str">
        <x:v>A178</x:v>
      </x:c>
      <x:c r="B182" s="21" t="str">
        <x:v>physical</x:v>
      </x:c>
      <x:c r="C182" s="21" t="str">
        <x:v>accepted dossiers</x:v>
      </x:c>
      <x:c r="D182" s="21" t="n">
        <x:f>COUNTIF('Dossier Bindings'!$F$5:$F$438,"ACCEPTED")</x:f>
        <x:v>0</x:v>
      </x:c>
      <x:c r="E182" s="21" t="n">
        <x:v>0</x:v>
      </x:c>
      <x:c r="F182" s="21" t="str">
        <x:f>IF(ABS(IF(ISNUMBER(D182),D182,0)-IF(ISNUMBER(E182),E182,0))&lt;0.00001,IF(AND(ISTEXT(D182),ISTEXT(E182)),IF(D182=E182,"PASS","FAIL"),"PASS"),IF(D182=E182,"PASS","FAIL"))</x:f>
        <x:v>PASS</x:v>
      </x:c>
    </x:row>
    <x:row r="183">
      <x:c r="A183" s="21" t="str">
        <x:v>A179</x:v>
      </x:c>
      <x:c r="B183" s="21" t="str">
        <x:v>physical</x:v>
      </x:c>
      <x:c r="C183" s="21" t="str">
        <x:v>observed source values</x:v>
      </x:c>
      <x:c r="D183" s="21" t="n">
        <x:f>COUNT('Source Accounts'!$D$5:$D$24)</x:f>
        <x:v>0</x:v>
      </x:c>
      <x:c r="E183" s="21" t="n">
        <x:v>0</x:v>
      </x:c>
      <x:c r="F183" s="21" t="str">
        <x:f>IF(ABS(IF(ISNUMBER(D183),D183,0)-IF(ISNUMBER(E183),E183,0))&lt;0.00001,IF(AND(ISTEXT(D183),ISTEXT(E183)),IF(D183=E183,"PASS","FAIL"),"PASS"),IF(D183=E183,"PASS","FAIL"))</x:f>
        <x:v>PASS</x:v>
      </x:c>
    </x:row>
    <x:row r="184">
      <x:c r="A184" s="21" t="str">
        <x:v>A180</x:v>
      </x:c>
      <x:c r="B184" s="21" t="str">
        <x:v>physical</x:v>
      </x:c>
      <x:c r="C184" s="21" t="str">
        <x:v>observed uncertainty values</x:v>
      </x:c>
      <x:c r="D184" s="21" t="n">
        <x:f>COUNT(Uncertainty!$F$5:$F$32)</x:f>
        <x:v>0</x:v>
      </x:c>
      <x:c r="E184" s="21" t="n">
        <x:v>0</x:v>
      </x:c>
      <x:c r="F184" s="21" t="str">
        <x:f>IF(ABS(IF(ISNUMBER(D184),D184,0)-IF(ISNUMBER(E184),E184,0))&lt;0.00001,IF(AND(ISTEXT(D184),ISTEXT(E184)),IF(D184=E184,"PASS","FAIL"),"PASS"),IF(D184=E184,"PASS","FAIL"))</x:f>
        <x:v>PASS</x:v>
      </x:c>
    </x:row>
  </x:sheetData>
  <x:conditionalFormatting sqref="F5:F184">
    <x:cfRule type="containsText" dxfId="144" priority="1" operator="containsText" text="PASS"/>
    <x:cfRule type="containsText" dxfId="145" priority="2" operator="containsText" text="ACCEPTED"/>
    <x:cfRule type="containsText" dxfId="146" priority="3" operator="containsText" text="OPEN"/>
    <x:cfRule type="containsText" dxfId="147" priority="4" operator="containsText" text="BLOCKED"/>
    <x:cfRule type="containsText" dxfId="148" priority="5" operator="containsText" text="FAIL"/>
    <x:cfRule type="containsText" dxfId="149" priority="6" operator="containsText" text="STOP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3" hidden="0" customWidth="1"/>
    <x:col min="4" max="4" width="62" hidden="0" customWidth="1"/>
  </x:cols>
  <x:sheetData>
    <x:row r="1" ht="28" customHeight="1">
      <x:c r="A1" s="17" t="str">
        <x:v>Internal source register</x:v>
      </x:c>
      <x:c r="B1" s="17"/>
      <x:c r="C1" s="17"/>
      <x:c r="D1" s="17"/>
    </x:row>
    <x:row r="2" ht="34" customHeight="1">
      <x:c r="A2" s="18" t="str">
        <x:v>All authority comes from repository research objects. No external site is used.</x:v>
      </x:c>
      <x:c r="B2" s="18"/>
      <x:c r="C2" s="18"/>
      <x:c r="D2" s="18"/>
    </x:row>
    <x:row r="3">
      <x:c r="A3" s="19"/>
      <x:c r="B3" s="19"/>
      <x:c r="C3" s="19"/>
      <x:c r="D3" s="19"/>
    </x:row>
    <x:row r="4">
      <x:c r="A4" s="20" t="str">
        <x:v>Source</x:v>
      </x:c>
      <x:c r="B4" s="20" t="str">
        <x:v>Title</x:v>
      </x:c>
      <x:c r="C4" s="20" t="str">
        <x:v>Access</x:v>
      </x:c>
      <x:c r="D4" s="20" t="str">
        <x:v>Use</x:v>
      </x:c>
    </x:row>
    <x:row r="5">
      <x:c r="A5" s="21" t="str">
        <x:v>RBB-1</x:v>
      </x:c>
      <x:c r="B5" s="21" t="str">
        <x:v>QE-02 class execution and source-transfer qualification</x:v>
      </x:c>
      <x:c r="C5" s="21" t="str">
        <x:v>repository paper</x:v>
      </x:c>
      <x:c r="D5" s="21" t="str">
        <x:v>source-transfer boundary and reserve precedent</x:v>
      </x:c>
    </x:row>
    <x:row r="6">
      <x:c r="A6" s="21" t="str">
        <x:v>RBA-1</x:v>
      </x:c>
      <x:c r="B6" s="21" t="str">
        <x:v>first QE-02 source event</x:v>
      </x:c>
      <x:c r="C6" s="21" t="str">
        <x:v>repository paper</x:v>
      </x:c>
      <x:c r="D6" s="21" t="str">
        <x:v>event gate, dossier and return precedent</x:v>
      </x:c>
    </x:row>
    <x:row r="7">
      <x:c r="A7" s="21" t="str">
        <x:v>RAS-1</x:v>
      </x:c>
      <x:c r="B7" s="21" t="str">
        <x:v>quarter-source entry safety case</x:v>
      </x:c>
      <x:c r="C7" s="21" t="str">
        <x:v>repository paper</x:v>
      </x:c>
      <x:c r="D7" s="21" t="str">
        <x:v>QE-03 class, source, area and uncertainty bounds</x:v>
      </x:c>
    </x:row>
    <x:row r="8">
      <x:c r="A8" s="21" t="str">
        <x:v>RAE-1</x:v>
      </x:c>
      <x:c r="B8" s="21" t="str">
        <x:v>executable quarter-source dossier</x:v>
      </x:c>
      <x:c r="C8" s="21" t="str">
        <x:v>repository paper</x:v>
      </x:c>
      <x:c r="D8" s="21" t="str">
        <x:v>40 mm route and REA-100 event object</x:v>
      </x:c>
    </x:row>
    <x:row r="9">
      <x:c r="A9" s="21" t="str">
        <x:v>RAC-1</x:v>
      </x:c>
      <x:c r="B9" s="21" t="str">
        <x:v>reference-article construction</x:v>
      </x:c>
      <x:c r="C9" s="21" t="str">
        <x:v>repository paper</x:v>
      </x:c>
      <x:c r="D9" s="21" t="str">
        <x:v>pressure, proof and hydraulic boundaries</x:v>
      </x:c>
    </x:row>
    <x:row r="10">
      <x:c r="A10" s="21" t="str">
        <x:v>RAB-1</x:v>
      </x:c>
      <x:c r="B10" s="21" t="str">
        <x:v>destructive build qualification</x:v>
      </x:c>
      <x:c r="C10" s="21" t="str">
        <x:v>repository paper</x:v>
      </x:c>
      <x:c r="D10" s="21" t="str">
        <x:v>physical qualification and fixtures</x:v>
      </x:c>
    </x:row>
    <x:row r="11">
      <x:c r="A11" s="21" t="str">
        <x:v>RAX-1</x:v>
      </x:c>
      <x:c r="B11" s="21" t="str">
        <x:v>campaign mobilization</x:v>
      </x:c>
      <x:c r="C11" s="21" t="str">
        <x:v>repository paper</x:v>
      </x:c>
      <x:c r="D11" s="21" t="str">
        <x:v>article-to-rig readiness</x:v>
      </x:c>
    </x:row>
    <x:row r="12">
      <x:c r="A12" s="21" t="str">
        <x:v>RAM-1</x:v>
      </x:c>
      <x:c r="B12" s="21" t="str">
        <x:v>method-card constitution</x:v>
      </x:c>
      <x:c r="C12" s="21" t="str">
        <x:v>repository paper</x:v>
      </x:c>
      <x:c r="D12" s="21" t="str">
        <x:v>AM-05 method and causal evidence</x:v>
      </x:c>
    </x:row>
    <x:row r="13">
      <x:c r="A13" s="21" t="str">
        <x:v>RBC-1 model</x:v>
      </x:c>
      <x:c r="B13" s="21" t="str">
        <x:v>declared calculations and synthetic cases</x:v>
      </x:c>
      <x:c r="C13" s="21" t="str">
        <x:v>this workbook</x:v>
      </x:c>
      <x:c r="D13" s="21" t="str">
        <x:v>no external site used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43" hidden="0" customWidth="1"/>
  </x:cols>
  <x:sheetData>
    <x:row r="1" ht="28" customHeight="1">
      <x:c r="A1" s="17" t="str">
        <x:v>Workbook structure</x:v>
      </x:c>
      <x:c r="B1" s="17"/>
      <x:c r="C1" s="17"/>
    </x:row>
    <x:row r="2" ht="34" customHeight="1">
      <x:c r="A2" s="18" t="str">
        <x:v>Outputs appear first, followed by builds, registers and terminal verification.</x:v>
      </x:c>
      <x:c r="B2" s="18"/>
      <x:c r="C2" s="18"/>
    </x:row>
    <x:row r="3">
      <x:c r="A3" s="19"/>
      <x:c r="B3" s="19"/>
      <x:c r="C3" s="19"/>
    </x:row>
    <x:row r="4">
      <x:c r="A4" s="20" t="str">
        <x:v>Sheet</x:v>
      </x:c>
      <x:c r="B4" s="20" t="str">
        <x:v>Order</x:v>
      </x:c>
      <x:c r="C4" s="20" t="str">
        <x:v>Role</x:v>
      </x:c>
    </x:row>
    <x:row r="5">
      <x:c r="A5" s="21" t="str">
        <x:v>Summary</x:v>
      </x:c>
      <x:c r="B5" s="21" t="n">
        <x:v>1</x:v>
      </x:c>
      <x:c r="C5" s="21" t="str">
        <x:v>primary decision view</x:v>
      </x:c>
    </x:row>
    <x:row r="6">
      <x:c r="A6" s="21" t="str">
        <x:v>Controls</x:v>
      </x:c>
      <x:c r="B6" s="21" t="n">
        <x:v>2</x:v>
      </x:c>
      <x:c r="C6" s="21" t="str">
        <x:v>declared inputs</x:v>
      </x:c>
    </x:row>
    <x:row r="7">
      <x:c r="A7" s="21" t="str">
        <x:v>Claim Boundary</x:v>
      </x:c>
      <x:c r="B7" s="21" t="n">
        <x:v>3</x:v>
      </x:c>
      <x:c r="C7" s="21" t="str">
        <x:v>calculation or physical register</x:v>
      </x:c>
    </x:row>
    <x:row r="8">
      <x:c r="A8" s="21" t="str">
        <x:v>Scale Vector</x:v>
      </x:c>
      <x:c r="B8" s="21" t="n">
        <x:v>4</x:v>
      </x:c>
      <x:c r="C8" s="21" t="str">
        <x:v>calculation or physical register</x:v>
      </x:c>
    </x:row>
    <x:row r="9">
      <x:c r="A9" s="21" t="str">
        <x:v>Hydraulic Envelope</x:v>
      </x:c>
      <x:c r="B9" s="21" t="n">
        <x:v>5</x:v>
      </x:c>
      <x:c r="C9" s="21" t="str">
        <x:v>calculation or physical register</x:v>
      </x:c>
    </x:row>
    <x:row r="10">
      <x:c r="A10" s="21" t="str">
        <x:v>Rate Qualification</x:v>
      </x:c>
      <x:c r="B10" s="21" t="n">
        <x:v>6</x:v>
      </x:c>
      <x:c r="C10" s="21" t="str">
        <x:v>calculation or physical register</x:v>
      </x:c>
    </x:row>
    <x:row r="11">
      <x:c r="A11" s="21" t="str">
        <x:v>Conversion Kit</x:v>
      </x:c>
      <x:c r="B11" s="21" t="n">
        <x:v>7</x:v>
      </x:c>
      <x:c r="C11" s="21" t="str">
        <x:v>calculation or physical register</x:v>
      </x:c>
    </x:row>
    <x:row r="12">
      <x:c r="A12" s="21" t="str">
        <x:v>Reserve Alternatives</x:v>
      </x:c>
      <x:c r="B12" s="21" t="n">
        <x:v>8</x:v>
      </x:c>
      <x:c r="C12" s="21" t="str">
        <x:v>calculation or physical register</x:v>
      </x:c>
    </x:row>
    <x:row r="13">
      <x:c r="A13" s="21" t="str">
        <x:v>Reserve Sensitivity</x:v>
      </x:c>
      <x:c r="B13" s="21" t="n">
        <x:v>9</x:v>
      </x:c>
      <x:c r="C13" s="21" t="str">
        <x:v>calculation or physical register</x:v>
      </x:c>
    </x:row>
    <x:row r="14">
      <x:c r="A14" s="21" t="str">
        <x:v>Source Bank</x:v>
      </x:c>
      <x:c r="B14" s="21" t="n">
        <x:v>10</x:v>
      </x:c>
      <x:c r="C14" s="21" t="str">
        <x:v>calculation or physical register</x:v>
      </x:c>
    </x:row>
    <x:row r="15">
      <x:c r="A15" s="21" t="str">
        <x:v>Package Characteristics</x:v>
      </x:c>
      <x:c r="B15" s="21" t="n">
        <x:v>11</x:v>
      </x:c>
      <x:c r="C15" s="21" t="str">
        <x:v>calculation or physical register</x:v>
      </x:c>
    </x:row>
    <x:row r="16">
      <x:c r="A16" s="21" t="str">
        <x:v>Eligibility</x:v>
      </x:c>
      <x:c r="B16" s="21" t="n">
        <x:v>12</x:v>
      </x:c>
      <x:c r="C16" s="21" t="str">
        <x:v>calculation or physical register</x:v>
      </x:c>
    </x:row>
    <x:row r="17">
      <x:c r="A17" s="21" t="str">
        <x:v>Draw Protocol</x:v>
      </x:c>
      <x:c r="B17" s="21" t="n">
        <x:v>13</x:v>
      </x:c>
      <x:c r="C17" s="21" t="str">
        <x:v>calculation or physical register</x:v>
      </x:c>
    </x:row>
    <x:row r="18">
      <x:c r="A18" s="21" t="str">
        <x:v>Attempt Tokens</x:v>
      </x:c>
      <x:c r="B18" s="21" t="n">
        <x:v>14</x:v>
      </x:c>
      <x:c r="C18" s="21" t="str">
        <x:v>calculation or physical register</x:v>
      </x:c>
    </x:row>
    <x:row r="19">
      <x:c r="A19" s="21" t="str">
        <x:v>Attempt Register</x:v>
      </x:c>
      <x:c r="B19" s="21" t="n">
        <x:v>15</x:v>
      </x:c>
      <x:c r="C19" s="21" t="str">
        <x:v>calculation or physical register</x:v>
      </x:c>
    </x:row>
    <x:row r="20">
      <x:c r="A20" s="21" t="str">
        <x:v>Event Gates</x:v>
      </x:c>
      <x:c r="B20" s="21" t="n">
        <x:v>16</x:v>
      </x:c>
      <x:c r="C20" s="21" t="str">
        <x:v>calculation or physical register</x:v>
      </x:c>
    </x:row>
    <x:row r="21">
      <x:c r="A21" s="21" t="str">
        <x:v>Dossier Bindings</x:v>
      </x:c>
      <x:c r="B21" s="21" t="n">
        <x:v>17</x:v>
      </x:c>
      <x:c r="C21" s="21" t="str">
        <x:v>calculation or physical register</x:v>
      </x:c>
    </x:row>
    <x:row r="22">
      <x:c r="A22" s="21" t="str">
        <x:v>Source Accounts</x:v>
      </x:c>
      <x:c r="B22" s="21" t="n">
        <x:v>18</x:v>
      </x:c>
      <x:c r="C22" s="21" t="str">
        <x:v>calculation or physical register</x:v>
      </x:c>
    </x:row>
    <x:row r="23">
      <x:c r="A23" s="21" t="str">
        <x:v>Water Account</x:v>
      </x:c>
      <x:c r="B23" s="21" t="n">
        <x:v>19</x:v>
      </x:c>
      <x:c r="C23" s="21" t="str">
        <x:v>calculation or physical register</x:v>
      </x:c>
    </x:row>
    <x:row r="24">
      <x:c r="A24" s="21" t="str">
        <x:v>Uncertainty</x:v>
      </x:c>
      <x:c r="B24" s="21" t="n">
        <x:v>20</x:v>
      </x:c>
      <x:c r="C24" s="21" t="str">
        <x:v>calculation or physical register</x:v>
      </x:c>
    </x:row>
    <x:row r="25">
      <x:c r="A25" s="21" t="str">
        <x:v>Safeing Paths</x:v>
      </x:c>
      <x:c r="B25" s="21" t="n">
        <x:v>21</x:v>
      </x:c>
      <x:c r="C25" s="21" t="str">
        <x:v>calculation or physical register</x:v>
      </x:c>
    </x:row>
    <x:row r="26">
      <x:c r="A26" s="21" t="str">
        <x:v>Event Clock</x:v>
      </x:c>
      <x:c r="B26" s="21" t="n">
        <x:v>22</x:v>
      </x:c>
      <x:c r="C26" s="21" t="str">
        <x:v>calculation or physical register</x:v>
      </x:c>
    </x:row>
    <x:row r="27">
      <x:c r="A27" s="21" t="str">
        <x:v>Outcome Law</x:v>
      </x:c>
      <x:c r="B27" s="21" t="n">
        <x:v>23</x:v>
      </x:c>
      <x:c r="C27" s="21" t="str">
        <x:v>calculation or physical register</x:v>
      </x:c>
    </x:row>
    <x:row r="28">
      <x:c r="A28" s="21" t="str">
        <x:v>Pair Return</x:v>
      </x:c>
      <x:c r="B28" s="21" t="n">
        <x:v>24</x:v>
      </x:c>
      <x:c r="C28" s="21" t="str">
        <x:v>calculation or physical register</x:v>
      </x:c>
    </x:row>
    <x:row r="29">
      <x:c r="A29" s="21" t="str">
        <x:v>Evidence Replay</x:v>
      </x:c>
      <x:c r="B29" s="21" t="n">
        <x:v>25</x:v>
      </x:c>
      <x:c r="C29" s="21" t="str">
        <x:v>calculation or physical register</x:v>
      </x:c>
    </x:row>
    <x:row r="30">
      <x:c r="A30" s="21" t="str">
        <x:v>Evidence Capacity</x:v>
      </x:c>
      <x:c r="B30" s="21" t="n">
        <x:v>26</x:v>
      </x:c>
      <x:c r="C30" s="21" t="str">
        <x:v>calculation or physical register</x:v>
      </x:c>
    </x:row>
    <x:row r="31">
      <x:c r="A31" s="21" t="str">
        <x:v>Decisions</x:v>
      </x:c>
      <x:c r="B31" s="21" t="n">
        <x:v>27</x:v>
      </x:c>
      <x:c r="C31" s="21" t="str">
        <x:v>calculation or physical register</x:v>
      </x:c>
    </x:row>
    <x:row r="32">
      <x:c r="A32" s="21" t="str">
        <x:v>Downstream Boundary</x:v>
      </x:c>
      <x:c r="B32" s="21" t="n">
        <x:v>28</x:v>
      </x:c>
      <x:c r="C32" s="21" t="str">
        <x:v>calculation or physical register</x:v>
      </x:c>
    </x:row>
    <x:row r="33">
      <x:c r="A33" s="21" t="str">
        <x:v>Rules</x:v>
      </x:c>
      <x:c r="B33" s="21" t="n">
        <x:v>29</x:v>
      </x:c>
      <x:c r="C33" s="21" t="str">
        <x:v>calculation or physical register</x:v>
      </x:c>
    </x:row>
    <x:row r="34">
      <x:c r="A34" s="21" t="str">
        <x:v>Capacity</x:v>
      </x:c>
      <x:c r="B34" s="21" t="n">
        <x:v>30</x:v>
      </x:c>
      <x:c r="C34" s="21" t="str">
        <x:v>calculation or physical register</x:v>
      </x:c>
    </x:row>
    <x:row r="35">
      <x:c r="A35" s="21" t="str">
        <x:v>Workforce</x:v>
      </x:c>
      <x:c r="B35" s="21" t="n">
        <x:v>31</x:v>
      </x:c>
      <x:c r="C35" s="21" t="str">
        <x:v>calculation or physical register</x:v>
      </x:c>
    </x:row>
    <x:row r="36">
      <x:c r="A36" s="21" t="str">
        <x:v>Finance Allocation</x:v>
      </x:c>
      <x:c r="B36" s="21" t="n">
        <x:v>32</x:v>
      </x:c>
      <x:c r="C36" s="21" t="str">
        <x:v>calculation or physical register</x:v>
      </x:c>
    </x:row>
    <x:row r="37">
      <x:c r="A37" s="21" t="str">
        <x:v>Portfolio Boundary</x:v>
      </x:c>
      <x:c r="B37" s="21" t="n">
        <x:v>33</x:v>
      </x:c>
      <x:c r="C37" s="21" t="str">
        <x:v>calculation or physical register</x:v>
      </x:c>
    </x:row>
    <x:row r="38">
      <x:c r="A38" s="21" t="str">
        <x:v>Technology Programs</x:v>
      </x:c>
      <x:c r="B38" s="21" t="n">
        <x:v>34</x:v>
      </x:c>
      <x:c r="C38" s="21" t="str">
        <x:v>calculation or physical register</x:v>
      </x:c>
    </x:row>
    <x:row r="39">
      <x:c r="A39" s="21" t="str">
        <x:v>Executable Tests</x:v>
      </x:c>
      <x:c r="B39" s="21" t="n">
        <x:v>35</x:v>
      </x:c>
      <x:c r="C39" s="21" t="str">
        <x:v>verification and internal record</x:v>
      </x:c>
    </x:row>
    <x:row r="40">
      <x:c r="A40" s="21" t="str">
        <x:v>Audit</x:v>
      </x:c>
      <x:c r="B40" s="21" t="n">
        <x:v>36</x:v>
      </x:c>
      <x:c r="C40" s="21" t="str">
        <x:v>verification and internal record</x:v>
      </x:c>
    </x:row>
    <x:row r="41">
      <x:c r="A41" s="21" t="str">
        <x:v>Sources</x:v>
      </x:c>
      <x:c r="B41" s="21" t="n">
        <x:v>37</x:v>
      </x:c>
      <x:c r="C41" s="21" t="str">
        <x:v>verification and internal record</x:v>
      </x:c>
    </x:row>
    <x:row r="42">
      <x:c r="A42" s="21" t="str">
        <x:v>ReadMe</x:v>
      </x:c>
      <x:c r="B42" s="21" t="n">
        <x:v>38</x:v>
      </x:c>
      <x:c r="C42" s="21" t="str">
        <x:v>verification and internal record</x:v>
      </x:c>
    </x:row>
  </x:sheetData>
  <x:pageMargins left="0.7" right="0.7" top="0.75" bottom="0.75" header="0.3" footer="0.3"/>
</x:worksheet>
</file>